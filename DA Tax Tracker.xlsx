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Income Log" sheetId="2" state="visible" r:id="rId4"/>
    <sheet name="Notes &amp; how to us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Enter the calendar year the tax year ends in.
2026/27 -&gt; 2027.
The deadlines below update from this.</t>
        </r>
      </text>
    </comment>
    <comment ref="C14" authorId="0">
      <text>
        <r>
          <rPr>
            <sz val="10"/>
            <rFont val="Arial"/>
            <family val="2"/>
          </rPr>
          <t xml:space="preserve">Optional. For the precise gross figure HMRC wants, enter a fair GBP-per-USD rate (e.g. HMRC's published monthly/yearly average, or a mid-market rate). Leave blank to just use the GBP you actually received.</t>
        </r>
      </text>
    </comment>
    <comment ref="C23" authorId="0">
      <text>
        <r>
          <rPr>
            <sz val="10"/>
            <rFont val="Arial"/>
            <family val="2"/>
          </rPr>
          <t xml:space="preserve">Plan 2 repayment threshold: £29,385 for 2026/27, frozen until April 2030. Update here if it ever changes.</t>
        </r>
      </text>
    </comment>
    <comment ref="C24" authorId="0">
      <text>
        <r>
          <rPr>
            <sz val="10"/>
            <rFont val="Arial"/>
            <family val="2"/>
          </rPr>
          <t xml:space="preserve">Gross salary MINUS pension salary sacrifice MINUS any other salary-sacrifice benefit (e.g. gym). This is the pay figure student loan is worked out on.
Yours: 31,425 - 1,257 (4% pension) - 440 (gym) = 29,728.</t>
        </r>
      </text>
    </comment>
    <comment ref="C32" authorId="0">
      <text>
        <r>
          <rPr>
            <sz val="10"/>
            <rFont val="Arial"/>
            <family val="2"/>
          </rPr>
          <t xml:space="preserve">What share of your income-over-£1,000 you need to park. For you this lands at 29% (20% tax + 9% student loan) while your salary sits above the threshold.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Gross amount Data Annotation paid you, in US dollars. This is your anchor figure — it doesn't change with exchange rates.</t>
        </r>
      </text>
    </comment>
    <comment ref="D1" authorId="0">
      <text>
        <r>
          <rPr>
            <sz val="10"/>
            <rFont val="Arial"/>
            <family val="2"/>
          </rPr>
          <t xml:space="preserve">The pounds that actually arrived in your bank after PayPal's conversion. From your bank statement / PayPal activity.</t>
        </r>
      </text>
    </comment>
  </commentList>
</comments>
</file>

<file path=xl/sharedStrings.xml><?xml version="1.0" encoding="utf-8"?>
<sst xmlns="http://schemas.openxmlformats.org/spreadsheetml/2006/main" count="77" uniqueCount="77">
  <si>
    <t xml:space="preserve">DATA ANNOTATION  —  Income &amp; Tax Tracker</t>
  </si>
  <si>
    <t xml:space="preserve">Self-employed side income  ·  UK  ·  gross income reported in GBP</t>
  </si>
  <si>
    <t xml:space="preserve">SETUP</t>
  </si>
  <si>
    <t xml:space="preserve">Tax year ending 5 April  (enter year, e.g. 2027)</t>
  </si>
  <si>
    <t xml:space="preserve">Trading allowance (fixed)</t>
  </si>
  <si>
    <t xml:space="preserve">THIS YEAR SO FAR  (from Income Log)</t>
  </si>
  <si>
    <t xml:space="preserve">Total paid by Data Annotation</t>
  </si>
  <si>
    <t xml:space="preserve">Total GBP received into bank</t>
  </si>
  <si>
    <t xml:space="preserve">Average effective rate (GBP per $)</t>
  </si>
  <si>
    <t xml:space="preserve">GROSS INCOME CHECK</t>
  </si>
  <si>
    <t xml:space="preserve">Reference rate GBP per $  (optional)</t>
  </si>
  <si>
    <t xml:space="preserve">Gross income for HMRC</t>
  </si>
  <si>
    <t xml:space="preserve">TRADING ALLOWANCE STATUS</t>
  </si>
  <si>
    <t xml:space="preserve">Working gross used below</t>
  </si>
  <si>
    <t xml:space="preserve">Remaining before £1,000</t>
  </si>
  <si>
    <t xml:space="preserve">Status</t>
  </si>
  <si>
    <t xml:space="preserve">STUDENT LOAN  (Plan 2)</t>
  </si>
  <si>
    <t xml:space="preserve">Plan 2 threshold (frozen to 2030)</t>
  </si>
  <si>
    <t xml:space="preserve">Your salary after salary sacrifice</t>
  </si>
  <si>
    <t xml:space="preserve">Student loan rate</t>
  </si>
  <si>
    <t xml:space="preserve">WHAT TO SET ASIDE</t>
  </si>
  <si>
    <t xml:space="preserve">Taxable after £1,000 allowance</t>
  </si>
  <si>
    <t xml:space="preserve">Income tax @ 20%</t>
  </si>
  <si>
    <t xml:space="preserve">Student loan @ 9% (on this income)</t>
  </si>
  <si>
    <t xml:space="preserve">TOTAL to set aside</t>
  </si>
  <si>
    <t xml:space="preserve">Effective rate on income over £1,000</t>
  </si>
  <si>
    <t xml:space="preserve">KEY DEADLINES  (only if you cross £1,000)</t>
  </si>
  <si>
    <t xml:space="preserve">Register for Self Assessment by</t>
  </si>
  <si>
    <t xml:space="preserve">File return &amp; pay tax by</t>
  </si>
  <si>
    <t xml:space="preserve">20% assumes combined income stays under £50,270 (40% above). Student loan is 9% of combined income above the threshold — because your salary already sits above it, DA income carries the full 9%. No NI expected (see Notes tab).</t>
  </si>
  <si>
    <t xml:space="preserve">Date paid</t>
  </si>
  <si>
    <t xml:space="preserve">Source</t>
  </si>
  <si>
    <t xml:space="preserve">USD gross ($)</t>
  </si>
  <si>
    <t xml:space="preserve">GBP received (£)</t>
  </si>
  <si>
    <t xml:space="preserve">Effective rate (£/$)</t>
  </si>
  <si>
    <t xml:space="preserve">Cumulative USD ($)</t>
  </si>
  <si>
    <t xml:space="preserve">Cumulative GBP (£)</t>
  </si>
  <si>
    <t xml:space="preserve">Notes</t>
  </si>
  <si>
    <t xml:space="preserve">HOW TO USE THIS TRACKER</t>
  </si>
  <si>
    <t xml:space="preserve">Each time Data Annotation pays you:</t>
  </si>
  <si>
    <t xml:space="preserve">1.  Add a row in the Income Log.</t>
  </si>
  <si>
    <t xml:space="preserve">2.  Enter the date, the USD amount they paid (gross), and the GBP that landed in your bank.</t>
  </si>
  <si>
    <t xml:space="preserve">3.  The yellow cells are the ones you fill in; everything else calculates itself.</t>
  </si>
  <si>
    <t xml:space="preserve">The currency point that actually matters:</t>
  </si>
  <si>
    <t xml:space="preserve">•  HMRC measures the £1,000 trading allowance on your GROSS income, in pounds.</t>
  </si>
  <si>
    <t xml:space="preserve">•  Your USD figure is the anchor — it's what Data Annotation reports and doesn't move with rates.</t>
  </si>
  <si>
    <t xml:space="preserve">•  PayPal's conversion includes a spread, so the pounds you receive are a little LESS than a clean</t>
  </si>
  <si>
    <t xml:space="preserve">    conversion of that USD. Under £1,000 the gap is trivial. Near £1,000 it can matter: the sterling</t>
  </si>
  <si>
    <t xml:space="preserve">    you received might read under £1,000 while your true gross is over.</t>
  </si>
  <si>
    <t xml:space="preserve">•  So if you ever get close, put a fair rate in the 'Reference rate' cell on the Dashboard (HMRC</t>
  </si>
  <si>
    <t xml:space="preserve">    publishes monthly and yearly average rates — search 'HMRC exchange rates'). That converts your</t>
  </si>
  <si>
    <t xml:space="preserve">    total USD at a clean rate and gives the gross figure HMRC would expect.</t>
  </si>
  <si>
    <t xml:space="preserve">What to keep:</t>
  </si>
  <si>
    <t xml:space="preserve">•  Your PayPal activity (showing the USD received and the conversion) and bank statements showing</t>
  </si>
  <si>
    <t xml:space="preserve">    the GBP in. A screenshot or CSV export per payment is plenty. Keep these even while under £1,000.</t>
  </si>
  <si>
    <t xml:space="preserve">If you cross £1,000 (gross):</t>
  </si>
  <si>
    <t xml:space="preserve">•  Register for Self Assessment by 5 October after that tax year ends, then file and pay by 31 January.</t>
  </si>
  <si>
    <t xml:space="preserve">•  On the return you tick the £1,000 trading allowance (or claim actual expenses if they're higher —</t>
  </si>
  <si>
    <t xml:space="preserve">    your PayPal conversion costs would count as an expense, but not at the same time as the allowance).</t>
  </si>
  <si>
    <t xml:space="preserve">National Insurance:</t>
  </si>
  <si>
    <t xml:space="preserve">•  Class 2 was abolished from April 2024 — not payable.</t>
  </si>
  <si>
    <t xml:space="preserve">•  Class 4 only applies to self-employment PROFITS above £12,570, counted on this income alone (not</t>
  </si>
  <si>
    <t xml:space="preserve">    added to your main job). A few hours a week won't reach it, so expect no NI on this.</t>
  </si>
  <si>
    <t xml:space="preserve">Student loan (Plan 2):</t>
  </si>
  <si>
    <t xml:space="preserve">•  Collected through the SAME Self Assessment return — you don't pay it separately.</t>
  </si>
  <si>
    <t xml:space="preserve">•  It's 9% of your COMBINED income (salary + DA profit) above the Plan 2 threshold (£29,385, frozen</t>
  </si>
  <si>
    <t xml:space="preserve">    to 2030). Salary sacrifice lowers the salary figure it's based on, which is why yours is 29,728.</t>
  </si>
  <si>
    <t xml:space="preserve">•  Your salary already sits just above the threshold, so every pound of DA profit adds the full 9%.</t>
  </si>
  <si>
    <t xml:space="preserve">    If your salary ever dropped below the threshold, only the DA income above it would be charged.</t>
  </si>
  <si>
    <t xml:space="preserve">•  The Dashboard works this out automatically — update the 'salary after sacrifice' cell each year.</t>
  </si>
  <si>
    <t xml:space="preserve">A couple of things that DON'T apply to you (so you can stop wondering):</t>
  </si>
  <si>
    <t xml:space="preserve">•  VAT — only once turnover tops £90,000 a year. Not remotely close.</t>
  </si>
  <si>
    <t xml:space="preserve">•  Payments on Account — only if your SA bill tops £1,000 AND PAYE covers under 80% of your tax.</t>
  </si>
  <si>
    <t xml:space="preserve">•  Making Tax Digital — quarterly digital filing only bites above £20,000 of self-employment income.</t>
  </si>
  <si>
    <t xml:space="preserve">•  Tax on your savings interest — the £1,000 personal savings allowance covers the interest on a pot</t>
  </si>
  <si>
    <t xml:space="preserve">    this size, so the interest itself won't be taxable.</t>
  </si>
  <si>
    <t xml:space="preserve">This is a tracking aid, not tax advice. For anything unusual, check GOV.UK or an accountant.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</si>
</sst>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\£#,##0.00"/>
    <numFmt numFmtId="167" formatCode="\$#,##0.00"/>
    <numFmt numFmtId="168" formatCode="0.0000"/>
    <numFmt numFmtId="169" formatCode="0%"/>
    <numFmt numFmtId="170" formatCode="0.0%"/>
    <numFmt numFmtId="171" formatCode="dd/mm/yyyy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IBM Plex Mono"/>
      <family val="0"/>
      <charset val="1"/>
    </font>
    <font>
      <sz val="9"/>
      <color rgb="FF1F5C5A"/>
      <name val="IBM Plex Mono"/>
      <family val="0"/>
      <charset val="1"/>
    </font>
    <font>
      <b val="true"/>
      <sz val="10"/>
      <color rgb="FFFFFFFF"/>
      <name val="IBM Plex Mono"/>
      <family val="0"/>
      <charset val="1"/>
    </font>
    <font>
      <sz val="10"/>
      <color rgb="FF1B3A2F"/>
      <name val="IBM Plex Mono"/>
      <family val="0"/>
      <charset val="1"/>
    </font>
    <font>
      <b val="true"/>
      <sz val="10"/>
      <color rgb="FF1B3A2F"/>
      <name val="IBM Plex Mono"/>
      <family val="0"/>
      <charset val="1"/>
    </font>
    <font>
      <b val="true"/>
      <sz val="10"/>
      <color rgb="FF1F5C5A"/>
      <name val="IBM Plex Mono"/>
      <family val="0"/>
      <charset val="1"/>
    </font>
    <font>
      <b val="true"/>
      <sz val="11"/>
      <color rgb="FFFFFFFF"/>
      <name val="IBM Plex Mono"/>
      <family val="0"/>
      <charset val="1"/>
    </font>
    <font>
      <sz val="8"/>
      <color rgb="FF9C6E1E"/>
      <name val="IBM Plex Mono"/>
      <family val="0"/>
      <charset val="1"/>
    </font>
    <font>
      <sz val="10"/>
      <name val="Arial"/>
      <family val="2"/>
    </font>
    <font>
      <b val="true"/>
      <sz val="12"/>
      <color rgb="FFFFFFFF"/>
      <name val="IBM Plex Mono"/>
      <family val="0"/>
      <charset val="1"/>
    </font>
    <font>
      <sz val="10"/>
      <color rgb="FF9C6E1E"/>
      <name val="IBM Plex Mono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6302A"/>
        <bgColor rgb="FF1B3A2F"/>
      </patternFill>
    </fill>
    <fill>
      <patternFill patternType="solid">
        <fgColor rgb="FF1F5C5A"/>
        <bgColor rgb="FF1B3A2F"/>
      </patternFill>
    </fill>
    <fill>
      <patternFill patternType="solid">
        <fgColor rgb="FFF5F3ED"/>
        <bgColor rgb="FFFBF0CE"/>
      </patternFill>
    </fill>
    <fill>
      <patternFill patternType="solid">
        <fgColor rgb="FFFBF0CE"/>
        <bgColor rgb="FFF5F3ED"/>
      </patternFill>
    </fill>
    <fill>
      <patternFill patternType="solid">
        <fgColor rgb="FFE4EBDF"/>
        <bgColor rgb="FFF5F3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IBM Plex Mono"/>
        <charset val="1"/>
        <family val="0"/>
        <b val="1"/>
        <color rgb="FFA8442B"/>
      </font>
      <fill>
        <patternFill>
          <bgColor rgb="FFECD3CA"/>
        </patternFill>
      </fill>
    </dxf>
    <dxf>
      <font>
        <name val="IBM Plex Mono"/>
        <charset val="1"/>
        <family val="0"/>
        <b val="1"/>
        <color rgb="FF9C6E1E"/>
      </font>
      <fill>
        <patternFill>
          <bgColor rgb="FFF0E2C8"/>
        </patternFill>
      </fill>
    </dxf>
    <dxf>
      <font>
        <name val="IBM Plex Mono"/>
        <charset val="1"/>
        <family val="0"/>
        <b val="1"/>
        <color rgb="FF1B3A2F"/>
      </font>
      <fill>
        <patternFill>
          <bgColor rgb="FFE4EBD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6E1E"/>
      <rgbColor rgb="FF800080"/>
      <rgbColor rgb="FF1F5C5A"/>
      <rgbColor rgb="FFC9C9C9"/>
      <rgbColor rgb="FF808080"/>
      <rgbColor rgb="FF9999FF"/>
      <rgbColor rgb="FF993366"/>
      <rgbColor rgb="FFFBF0CE"/>
      <rgbColor rgb="FFF5F3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4EBDF"/>
      <rgbColor rgb="FFF0E2C8"/>
      <rgbColor rgb="FF99CCFF"/>
      <rgbColor rgb="FFFF99CC"/>
      <rgbColor rgb="FFCC99FF"/>
      <rgbColor rgb="FFECD3C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6302A"/>
      <rgbColor rgb="FF333300"/>
      <rgbColor rgb="FFA8442B"/>
      <rgbColor rgb="FF993366"/>
      <rgbColor rgb="FF333399"/>
      <rgbColor rgb="FF1B3A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4" min="3" style="0" width="20"/>
    <col collapsed="false" customWidth="true" hidden="false" outlineLevel="0" max="5" min="5" style="0" width="3"/>
  </cols>
  <sheetData>
    <row r="1" customFormat="false" ht="30" hidden="false" customHeight="true" outlineLevel="0" collapsed="false">
      <c r="B1" s="1" t="s">
        <v>0</v>
      </c>
      <c r="C1" s="1"/>
      <c r="D1" s="1"/>
    </row>
    <row r="2" customFormat="false" ht="15" hidden="false" customHeight="false" outlineLevel="0" collapsed="false">
      <c r="B2" s="2" t="s">
        <v>1</v>
      </c>
      <c r="C2" s="2"/>
      <c r="D2" s="2"/>
    </row>
    <row r="4" customFormat="false" ht="15" hidden="false" customHeight="false" outlineLevel="0" collapsed="false">
      <c r="B4" s="3" t="s">
        <v>2</v>
      </c>
      <c r="C4" s="3"/>
      <c r="D4" s="3"/>
    </row>
    <row r="5" customFormat="false" ht="15" hidden="false" customHeight="false" outlineLevel="0" collapsed="false">
      <c r="B5" s="4" t="s">
        <v>3</v>
      </c>
      <c r="C5" s="5" t="n">
        <v>2027</v>
      </c>
    </row>
    <row r="6" customFormat="false" ht="15" hidden="false" customHeight="false" outlineLevel="0" collapsed="false">
      <c r="B6" s="4" t="s">
        <v>4</v>
      </c>
      <c r="C6" s="6" t="n">
        <v>1000</v>
      </c>
    </row>
    <row r="8" customFormat="false" ht="15" hidden="false" customHeight="false" outlineLevel="0" collapsed="false">
      <c r="B8" s="3" t="s">
        <v>5</v>
      </c>
      <c r="C8" s="3"/>
      <c r="D8" s="3"/>
    </row>
    <row r="9" customFormat="false" ht="15" hidden="false" customHeight="false" outlineLevel="0" collapsed="false">
      <c r="B9" s="4" t="s">
        <v>6</v>
      </c>
      <c r="C9" s="7" t="n">
        <f aca="false">SUM('Income Log'!$C$2:$C$201)</f>
        <v>0</v>
      </c>
    </row>
    <row r="10" customFormat="false" ht="15" hidden="false" customHeight="false" outlineLevel="0" collapsed="false">
      <c r="B10" s="4" t="s">
        <v>7</v>
      </c>
      <c r="C10" s="6" t="n">
        <f aca="false">SUM('Income Log'!$D$2:$D$201)</f>
        <v>0</v>
      </c>
    </row>
    <row r="11" customFormat="false" ht="15" hidden="false" customHeight="false" outlineLevel="0" collapsed="false">
      <c r="B11" s="4" t="s">
        <v>8</v>
      </c>
      <c r="C11" s="8" t="str">
        <f aca="false">IF($C$9=0,"",$C$10/$C$9)</f>
        <v/>
      </c>
    </row>
    <row r="13" customFormat="false" ht="15" hidden="false" customHeight="false" outlineLevel="0" collapsed="false">
      <c r="B13" s="3" t="s">
        <v>9</v>
      </c>
      <c r="C13" s="3"/>
      <c r="D13" s="3"/>
    </row>
    <row r="14" customFormat="false" ht="15" hidden="false" customHeight="false" outlineLevel="0" collapsed="false">
      <c r="B14" s="4" t="s">
        <v>10</v>
      </c>
      <c r="C14" s="9"/>
    </row>
    <row r="15" customFormat="false" ht="15" hidden="false" customHeight="false" outlineLevel="0" collapsed="false">
      <c r="B15" s="4" t="s">
        <v>11</v>
      </c>
      <c r="C15" s="10" t="n">
        <f aca="false">IF($C$14="",$C$10,$C$9*$C$14)</f>
        <v>0</v>
      </c>
    </row>
    <row r="17" customFormat="false" ht="15" hidden="false" customHeight="false" outlineLevel="0" collapsed="false">
      <c r="B17" s="3" t="s">
        <v>12</v>
      </c>
      <c r="C17" s="3"/>
      <c r="D17" s="3"/>
    </row>
    <row r="18" customFormat="false" ht="15" hidden="false" customHeight="false" outlineLevel="0" collapsed="false">
      <c r="B18" s="4" t="s">
        <v>13</v>
      </c>
      <c r="C18" s="6" t="n">
        <f aca="false">$C$15</f>
        <v>0</v>
      </c>
    </row>
    <row r="19" customFormat="false" ht="15" hidden="false" customHeight="false" outlineLevel="0" collapsed="false">
      <c r="B19" s="4" t="s">
        <v>14</v>
      </c>
      <c r="C19" s="6" t="n">
        <f aca="false">MAX(0,$C$6-$C$18)</f>
        <v>1000</v>
      </c>
    </row>
    <row r="20" customFormat="false" ht="15" hidden="false" customHeight="false" outlineLevel="0" collapsed="false">
      <c r="B20" s="4" t="s">
        <v>15</v>
      </c>
      <c r="C20" s="11" t="str">
        <f aca="false">IF($C$18&gt;=$C$6,"OVER £1,000 — register for Self Assessment",IF($C$18&gt;=$C$6*0.9,"Approaching £1,000 — keep watching","Under £1,000 — nothing to report yet"))</f>
        <v>Under £1,000 — nothing to report yet</v>
      </c>
    </row>
    <row r="22" customFormat="false" ht="15" hidden="false" customHeight="false" outlineLevel="0" collapsed="false">
      <c r="B22" s="3" t="s">
        <v>16</v>
      </c>
      <c r="C22" s="3"/>
      <c r="D22" s="3"/>
    </row>
    <row r="23" customFormat="false" ht="15" hidden="false" customHeight="false" outlineLevel="0" collapsed="false">
      <c r="B23" s="4" t="s">
        <v>17</v>
      </c>
      <c r="C23" s="6" t="n">
        <v>29385</v>
      </c>
    </row>
    <row r="24" customFormat="false" ht="15" hidden="false" customHeight="false" outlineLevel="0" collapsed="false">
      <c r="B24" s="4" t="s">
        <v>18</v>
      </c>
      <c r="C24" s="12" t="n">
        <v>29728</v>
      </c>
    </row>
    <row r="25" customFormat="false" ht="15" hidden="false" customHeight="false" outlineLevel="0" collapsed="false">
      <c r="B25" s="4" t="s">
        <v>19</v>
      </c>
      <c r="C25" s="13" t="n">
        <v>0.09</v>
      </c>
    </row>
    <row r="27" customFormat="false" ht="15" hidden="false" customHeight="false" outlineLevel="0" collapsed="false">
      <c r="B27" s="3" t="s">
        <v>20</v>
      </c>
      <c r="C27" s="3"/>
      <c r="D27" s="3"/>
    </row>
    <row r="28" customFormat="false" ht="15" hidden="false" customHeight="false" outlineLevel="0" collapsed="false">
      <c r="B28" s="4" t="s">
        <v>21</v>
      </c>
      <c r="C28" s="6" t="n">
        <f aca="false">MAX(0,$C$18-$C$6)</f>
        <v>0</v>
      </c>
    </row>
    <row r="29" customFormat="false" ht="15" hidden="false" customHeight="false" outlineLevel="0" collapsed="false">
      <c r="B29" s="4" t="s">
        <v>22</v>
      </c>
      <c r="C29" s="6" t="n">
        <f aca="false">$C$28*0.2</f>
        <v>0</v>
      </c>
    </row>
    <row r="30" customFormat="false" ht="15" hidden="false" customHeight="false" outlineLevel="0" collapsed="false">
      <c r="B30" s="4" t="s">
        <v>23</v>
      </c>
      <c r="C30" s="6" t="n">
        <f aca="false">MAX(0,$C$24+$C$28-$C$23)*$C$25-MAX(0,$C$24-$C$23)*$C$25</f>
        <v>0</v>
      </c>
    </row>
    <row r="31" customFormat="false" ht="15" hidden="false" customHeight="false" outlineLevel="0" collapsed="false">
      <c r="B31" s="14" t="s">
        <v>24</v>
      </c>
      <c r="C31" s="15" t="n">
        <f aca="false">$C$29+$C$30</f>
        <v>0</v>
      </c>
    </row>
    <row r="32" customFormat="false" ht="15" hidden="false" customHeight="false" outlineLevel="0" collapsed="false">
      <c r="B32" s="4" t="s">
        <v>25</v>
      </c>
      <c r="C32" s="16" t="str">
        <f aca="false">IF($C$28=0,"",$C$31/$C$28)</f>
        <v/>
      </c>
    </row>
    <row r="34" customFormat="false" ht="15" hidden="false" customHeight="false" outlineLevel="0" collapsed="false">
      <c r="B34" s="3" t="s">
        <v>26</v>
      </c>
      <c r="C34" s="3"/>
      <c r="D34" s="3"/>
    </row>
    <row r="35" customFormat="false" ht="15" hidden="false" customHeight="false" outlineLevel="0" collapsed="false">
      <c r="B35" s="4" t="s">
        <v>27</v>
      </c>
      <c r="C35" s="17" t="n">
        <f aca="false">DATE($C$5,10,5)</f>
        <v>46665</v>
      </c>
    </row>
    <row r="36" customFormat="false" ht="15" hidden="false" customHeight="false" outlineLevel="0" collapsed="false">
      <c r="B36" s="4" t="s">
        <v>28</v>
      </c>
      <c r="C36" s="17" t="n">
        <f aca="false">DATE($C$5+1,1,31)</f>
        <v>46783</v>
      </c>
    </row>
    <row r="38" customFormat="false" ht="42" hidden="false" customHeight="true" outlineLevel="0" collapsed="false">
      <c r="B38" s="18" t="s">
        <v>29</v>
      </c>
      <c r="C38" s="18"/>
      <c r="D38" s="18"/>
    </row>
  </sheetData>
  <mergeCells count="10">
    <mergeCell ref="B1:D1"/>
    <mergeCell ref="B2:D2"/>
    <mergeCell ref="B4:D4"/>
    <mergeCell ref="B8:D8"/>
    <mergeCell ref="B13:D13"/>
    <mergeCell ref="B17:D17"/>
    <mergeCell ref="B22:D22"/>
    <mergeCell ref="B27:D27"/>
    <mergeCell ref="B34:D34"/>
    <mergeCell ref="B38:D38"/>
  </mergeCells>
  <conditionalFormatting sqref="C20">
    <cfRule type="expression" priority="2" aboveAverage="0" equalAverage="0" bottom="0" percent="0" rank="0" text="" dxfId="0">
      <formula>$C$18&gt;=$C$6</formula>
    </cfRule>
    <cfRule type="expression" priority="3" aboveAverage="0" equalAverage="0" bottom="0" percent="0" rank="0" text="" dxfId="1">
      <formula>$C$18&gt;=$C$6*0.9</formula>
    </cfRule>
    <cfRule type="expression" priority="4" aboveAverage="0" equalAverage="0" bottom="0" percent="0" rank="0" text="" dxfId="2">
      <formula>$C$18&lt;$C$6*0.9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8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6" min="5" style="0" width="17"/>
    <col collapsed="false" customWidth="true" hidden="false" outlineLevel="0" max="7" min="7" style="0" width="18"/>
    <col collapsed="false" customWidth="true" hidden="false" outlineLevel="0" max="8" min="8" style="0" width="30"/>
  </cols>
  <sheetData>
    <row r="1" customFormat="false" ht="30" hidden="false" customHeight="true" outlineLevel="0" collapsed="false">
      <c r="A1" s="19" t="s">
        <v>30</v>
      </c>
      <c r="B1" s="19" t="s">
        <v>31</v>
      </c>
      <c r="C1" s="19" t="s">
        <v>32</v>
      </c>
      <c r="D1" s="19" t="s">
        <v>33</v>
      </c>
      <c r="E1" s="19" t="s">
        <v>34</v>
      </c>
      <c r="F1" s="19" t="s">
        <v>35</v>
      </c>
      <c r="G1" s="19" t="s">
        <v>36</v>
      </c>
      <c r="H1" s="19" t="s">
        <v>37</v>
      </c>
    </row>
    <row r="2" customFormat="false" ht="15" hidden="false" customHeight="false" outlineLevel="0" collapsed="false">
      <c r="A2" s="20"/>
      <c r="B2" s="4"/>
      <c r="C2" s="21"/>
      <c r="D2" s="22"/>
      <c r="E2" s="23" t="str">
        <f aca="false">IF(OR($C2="",$D2=""),"",$D2/$C2)</f>
        <v/>
      </c>
      <c r="F2" s="24" t="str">
        <f aca="false">IF($C2="","",SUM($C$2:$C2))</f>
        <v/>
      </c>
      <c r="G2" s="25" t="str">
        <f aca="false">IF($D2="","",SUM($D$2:$D2))</f>
        <v/>
      </c>
      <c r="H2" s="4"/>
    </row>
    <row r="3" customFormat="false" ht="15" hidden="false" customHeight="false" outlineLevel="0" collapsed="false">
      <c r="A3" s="20"/>
      <c r="B3" s="4"/>
      <c r="C3" s="21"/>
      <c r="D3" s="22"/>
      <c r="E3" s="23" t="str">
        <f aca="false">IF(OR($C3="",$D3=""),"",$D3/$C3)</f>
        <v/>
      </c>
      <c r="F3" s="24" t="str">
        <f aca="false">IF($C3="","",SUM($C$2:$C3))</f>
        <v/>
      </c>
      <c r="G3" s="25" t="str">
        <f aca="false">IF($D3="","",SUM($D$2:$D3))</f>
        <v/>
      </c>
      <c r="H3" s="4"/>
    </row>
    <row r="4" customFormat="false" ht="15" hidden="false" customHeight="false" outlineLevel="0" collapsed="false">
      <c r="A4" s="20"/>
      <c r="B4" s="4"/>
      <c r="C4" s="21"/>
      <c r="D4" s="22"/>
      <c r="E4" s="23" t="str">
        <f aca="false">IF(OR($C4="",$D4=""),"",$D4/$C4)</f>
        <v/>
      </c>
      <c r="F4" s="24" t="str">
        <f aca="false">IF($C4="","",SUM($C$2:$C4))</f>
        <v/>
      </c>
      <c r="G4" s="25" t="str">
        <f aca="false">IF($D4="","",SUM($D$2:$D4))</f>
        <v/>
      </c>
      <c r="H4" s="4"/>
    </row>
    <row r="5" customFormat="false" ht="15" hidden="false" customHeight="false" outlineLevel="0" collapsed="false">
      <c r="A5" s="20"/>
      <c r="B5" s="4"/>
      <c r="C5" s="21"/>
      <c r="D5" s="22"/>
      <c r="E5" s="23" t="str">
        <f aca="false">IF(OR($C5="",$D5=""),"",$D5/$C5)</f>
        <v/>
      </c>
      <c r="F5" s="24" t="str">
        <f aca="false">IF($C5="","",SUM($C$2:$C5))</f>
        <v/>
      </c>
      <c r="G5" s="25" t="str">
        <f aca="false">IF($D5="","",SUM($D$2:$D5))</f>
        <v/>
      </c>
      <c r="H5" s="4"/>
    </row>
    <row r="6" customFormat="false" ht="15" hidden="false" customHeight="false" outlineLevel="0" collapsed="false">
      <c r="A6" s="20"/>
      <c r="B6" s="4"/>
      <c r="C6" s="21"/>
      <c r="D6" s="22"/>
      <c r="E6" s="23" t="str">
        <f aca="false">IF(OR($C6="",$D6=""),"",$D6/$C6)</f>
        <v/>
      </c>
      <c r="F6" s="24" t="str">
        <f aca="false">IF($C6="","",SUM($C$2:$C6))</f>
        <v/>
      </c>
      <c r="G6" s="25" t="str">
        <f aca="false">IF($D6="","",SUM($D$2:$D6))</f>
        <v/>
      </c>
      <c r="H6" s="4"/>
    </row>
    <row r="7" customFormat="false" ht="15" hidden="false" customHeight="false" outlineLevel="0" collapsed="false">
      <c r="A7" s="20"/>
      <c r="B7" s="4"/>
      <c r="C7" s="21"/>
      <c r="D7" s="22"/>
      <c r="E7" s="23" t="str">
        <f aca="false">IF(OR($C7="",$D7=""),"",$D7/$C7)</f>
        <v/>
      </c>
      <c r="F7" s="24" t="str">
        <f aca="false">IF($C7="","",SUM($C$2:$C7))</f>
        <v/>
      </c>
      <c r="G7" s="25" t="str">
        <f aca="false">IF($D7="","",SUM($D$2:$D7))</f>
        <v/>
      </c>
      <c r="H7" s="4"/>
    </row>
    <row r="8" customFormat="false" ht="15" hidden="false" customHeight="false" outlineLevel="0" collapsed="false">
      <c r="A8" s="20"/>
      <c r="B8" s="4"/>
      <c r="C8" s="21"/>
      <c r="D8" s="22"/>
      <c r="E8" s="23" t="str">
        <f aca="false">IF(OR($C8="",$D8=""),"",$D8/$C8)</f>
        <v/>
      </c>
      <c r="F8" s="24" t="str">
        <f aca="false">IF($C8="","",SUM($C$2:$C8))</f>
        <v/>
      </c>
      <c r="G8" s="25" t="str">
        <f aca="false">IF($D8="","",SUM($D$2:$D8))</f>
        <v/>
      </c>
      <c r="H8" s="4"/>
    </row>
    <row r="9" customFormat="false" ht="15" hidden="false" customHeight="false" outlineLevel="0" collapsed="false">
      <c r="A9" s="20"/>
      <c r="B9" s="4"/>
      <c r="C9" s="21"/>
      <c r="D9" s="22"/>
      <c r="E9" s="23" t="str">
        <f aca="false">IF(OR($C9="",$D9=""),"",$D9/$C9)</f>
        <v/>
      </c>
      <c r="F9" s="24" t="str">
        <f aca="false">IF($C9="","",SUM($C$2:$C9))</f>
        <v/>
      </c>
      <c r="G9" s="25" t="str">
        <f aca="false">IF($D9="","",SUM($D$2:$D9))</f>
        <v/>
      </c>
      <c r="H9" s="4"/>
    </row>
    <row r="10" customFormat="false" ht="15" hidden="false" customHeight="false" outlineLevel="0" collapsed="false">
      <c r="A10" s="20"/>
      <c r="B10" s="4"/>
      <c r="C10" s="21"/>
      <c r="D10" s="22"/>
      <c r="E10" s="23" t="str">
        <f aca="false">IF(OR($C10="",$D10=""),"",$D10/$C10)</f>
        <v/>
      </c>
      <c r="F10" s="24" t="str">
        <f aca="false">IF($C10="","",SUM($C$2:$C10))</f>
        <v/>
      </c>
      <c r="G10" s="25" t="str">
        <f aca="false">IF($D10="","",SUM($D$2:$D10))</f>
        <v/>
      </c>
      <c r="H10" s="4"/>
    </row>
    <row r="11" customFormat="false" ht="15" hidden="false" customHeight="false" outlineLevel="0" collapsed="false">
      <c r="A11" s="20"/>
      <c r="B11" s="4"/>
      <c r="C11" s="21"/>
      <c r="D11" s="22"/>
      <c r="E11" s="23" t="str">
        <f aca="false">IF(OR($C11="",$D11=""),"",$D11/$C11)</f>
        <v/>
      </c>
      <c r="F11" s="24" t="str">
        <f aca="false">IF($C11="","",SUM($C$2:$C11))</f>
        <v/>
      </c>
      <c r="G11" s="25" t="str">
        <f aca="false">IF($D11="","",SUM($D$2:$D11))</f>
        <v/>
      </c>
      <c r="H11" s="4"/>
    </row>
    <row r="12" customFormat="false" ht="15" hidden="false" customHeight="false" outlineLevel="0" collapsed="false">
      <c r="A12" s="20"/>
      <c r="B12" s="4"/>
      <c r="C12" s="21"/>
      <c r="D12" s="22"/>
      <c r="E12" s="23" t="str">
        <f aca="false">IF(OR($C12="",$D12=""),"",$D12/$C12)</f>
        <v/>
      </c>
      <c r="F12" s="24" t="str">
        <f aca="false">IF($C12="","",SUM($C$2:$C12))</f>
        <v/>
      </c>
      <c r="G12" s="25" t="str">
        <f aca="false">IF($D12="","",SUM($D$2:$D12))</f>
        <v/>
      </c>
      <c r="H12" s="4"/>
    </row>
    <row r="13" customFormat="false" ht="15" hidden="false" customHeight="false" outlineLevel="0" collapsed="false">
      <c r="A13" s="20"/>
      <c r="B13" s="4"/>
      <c r="C13" s="21"/>
      <c r="D13" s="22"/>
      <c r="E13" s="23" t="str">
        <f aca="false">IF(OR($C13="",$D13=""),"",$D13/$C13)</f>
        <v/>
      </c>
      <c r="F13" s="24" t="str">
        <f aca="false">IF($C13="","",SUM($C$2:$C13))</f>
        <v/>
      </c>
      <c r="G13" s="25" t="str">
        <f aca="false">IF($D13="","",SUM($D$2:$D13))</f>
        <v/>
      </c>
      <c r="H13" s="4"/>
    </row>
    <row r="14" customFormat="false" ht="15" hidden="false" customHeight="false" outlineLevel="0" collapsed="false">
      <c r="A14" s="20"/>
      <c r="B14" s="4"/>
      <c r="C14" s="21"/>
      <c r="D14" s="22"/>
      <c r="E14" s="23" t="str">
        <f aca="false">IF(OR($C14="",$D14=""),"",$D14/$C14)</f>
        <v/>
      </c>
      <c r="F14" s="24" t="str">
        <f aca="false">IF($C14="","",SUM($C$2:$C14))</f>
        <v/>
      </c>
      <c r="G14" s="25" t="str">
        <f aca="false">IF($D14="","",SUM($D$2:$D14))</f>
        <v/>
      </c>
      <c r="H14" s="4"/>
    </row>
    <row r="15" customFormat="false" ht="15" hidden="false" customHeight="false" outlineLevel="0" collapsed="false">
      <c r="A15" s="20"/>
      <c r="B15" s="4"/>
      <c r="C15" s="21"/>
      <c r="D15" s="22"/>
      <c r="E15" s="23" t="str">
        <f aca="false">IF(OR($C15="",$D15=""),"",$D15/$C15)</f>
        <v/>
      </c>
      <c r="F15" s="24" t="str">
        <f aca="false">IF($C15="","",SUM($C$2:$C15))</f>
        <v/>
      </c>
      <c r="G15" s="25" t="str">
        <f aca="false">IF($D15="","",SUM($D$2:$D15))</f>
        <v/>
      </c>
      <c r="H15" s="4"/>
    </row>
    <row r="16" customFormat="false" ht="15" hidden="false" customHeight="false" outlineLevel="0" collapsed="false">
      <c r="A16" s="20"/>
      <c r="B16" s="4"/>
      <c r="C16" s="21"/>
      <c r="D16" s="22"/>
      <c r="E16" s="23" t="str">
        <f aca="false">IF(OR($C16="",$D16=""),"",$D16/$C16)</f>
        <v/>
      </c>
      <c r="F16" s="24" t="str">
        <f aca="false">IF($C16="","",SUM($C$2:$C16))</f>
        <v/>
      </c>
      <c r="G16" s="25" t="str">
        <f aca="false">IF($D16="","",SUM($D$2:$D16))</f>
        <v/>
      </c>
      <c r="H16" s="4"/>
    </row>
    <row r="17" customFormat="false" ht="15" hidden="false" customHeight="false" outlineLevel="0" collapsed="false">
      <c r="A17" s="20"/>
      <c r="B17" s="4"/>
      <c r="C17" s="21"/>
      <c r="D17" s="22"/>
      <c r="E17" s="23" t="str">
        <f aca="false">IF(OR($C17="",$D17=""),"",$D17/$C17)</f>
        <v/>
      </c>
      <c r="F17" s="24" t="str">
        <f aca="false">IF($C17="","",SUM($C$2:$C17))</f>
        <v/>
      </c>
      <c r="G17" s="25" t="str">
        <f aca="false">IF($D17="","",SUM($D$2:$D17))</f>
        <v/>
      </c>
      <c r="H17" s="4"/>
    </row>
    <row r="18" customFormat="false" ht="15" hidden="false" customHeight="false" outlineLevel="0" collapsed="false">
      <c r="A18" s="20"/>
      <c r="B18" s="4"/>
      <c r="C18" s="21"/>
      <c r="D18" s="22"/>
      <c r="E18" s="23" t="str">
        <f aca="false">IF(OR($C18="",$D18=""),"",$D18/$C18)</f>
        <v/>
      </c>
      <c r="F18" s="24" t="str">
        <f aca="false">IF($C18="","",SUM($C$2:$C18))</f>
        <v/>
      </c>
      <c r="G18" s="25" t="str">
        <f aca="false">IF($D18="","",SUM($D$2:$D18))</f>
        <v/>
      </c>
      <c r="H18" s="4"/>
    </row>
    <row r="19" customFormat="false" ht="15" hidden="false" customHeight="false" outlineLevel="0" collapsed="false">
      <c r="A19" s="20"/>
      <c r="B19" s="4"/>
      <c r="C19" s="21"/>
      <c r="D19" s="22"/>
      <c r="E19" s="23" t="str">
        <f aca="false">IF(OR($C19="",$D19=""),"",$D19/$C19)</f>
        <v/>
      </c>
      <c r="F19" s="24" t="str">
        <f aca="false">IF($C19="","",SUM($C$2:$C19))</f>
        <v/>
      </c>
      <c r="G19" s="25" t="str">
        <f aca="false">IF($D19="","",SUM($D$2:$D19))</f>
        <v/>
      </c>
      <c r="H19" s="4"/>
    </row>
    <row r="20" customFormat="false" ht="15" hidden="false" customHeight="false" outlineLevel="0" collapsed="false">
      <c r="A20" s="20"/>
      <c r="B20" s="4"/>
      <c r="C20" s="21"/>
      <c r="D20" s="22"/>
      <c r="E20" s="23" t="str">
        <f aca="false">IF(OR($C20="",$D20=""),"",$D20/$C20)</f>
        <v/>
      </c>
      <c r="F20" s="24" t="str">
        <f aca="false">IF($C20="","",SUM($C$2:$C20))</f>
        <v/>
      </c>
      <c r="G20" s="25" t="str">
        <f aca="false">IF($D20="","",SUM($D$2:$D20))</f>
        <v/>
      </c>
      <c r="H20" s="4"/>
    </row>
    <row r="21" customFormat="false" ht="15" hidden="false" customHeight="false" outlineLevel="0" collapsed="false">
      <c r="A21" s="20"/>
      <c r="B21" s="4"/>
      <c r="C21" s="21"/>
      <c r="D21" s="22"/>
      <c r="E21" s="23" t="str">
        <f aca="false">IF(OR($C21="",$D21=""),"",$D21/$C21)</f>
        <v/>
      </c>
      <c r="F21" s="24" t="str">
        <f aca="false">IF($C21="","",SUM($C$2:$C21))</f>
        <v/>
      </c>
      <c r="G21" s="25" t="str">
        <f aca="false">IF($D21="","",SUM($D$2:$D21))</f>
        <v/>
      </c>
      <c r="H21" s="4"/>
    </row>
    <row r="22" customFormat="false" ht="15" hidden="false" customHeight="false" outlineLevel="0" collapsed="false">
      <c r="A22" s="20"/>
      <c r="B22" s="4"/>
      <c r="C22" s="21"/>
      <c r="D22" s="22"/>
      <c r="E22" s="23" t="str">
        <f aca="false">IF(OR($C22="",$D22=""),"",$D22/$C22)</f>
        <v/>
      </c>
      <c r="F22" s="24" t="str">
        <f aca="false">IF($C22="","",SUM($C$2:$C22))</f>
        <v/>
      </c>
      <c r="G22" s="25" t="str">
        <f aca="false">IF($D22="","",SUM($D$2:$D22))</f>
        <v/>
      </c>
      <c r="H22" s="4"/>
    </row>
    <row r="23" customFormat="false" ht="15" hidden="false" customHeight="false" outlineLevel="0" collapsed="false">
      <c r="A23" s="20"/>
      <c r="B23" s="4"/>
      <c r="C23" s="21"/>
      <c r="D23" s="22"/>
      <c r="E23" s="23" t="str">
        <f aca="false">IF(OR($C23="",$D23=""),"",$D23/$C23)</f>
        <v/>
      </c>
      <c r="F23" s="24" t="str">
        <f aca="false">IF($C23="","",SUM($C$2:$C23))</f>
        <v/>
      </c>
      <c r="G23" s="25" t="str">
        <f aca="false">IF($D23="","",SUM($D$2:$D23))</f>
        <v/>
      </c>
      <c r="H23" s="4"/>
    </row>
    <row r="24" customFormat="false" ht="15" hidden="false" customHeight="false" outlineLevel="0" collapsed="false">
      <c r="A24" s="20"/>
      <c r="B24" s="4"/>
      <c r="C24" s="21"/>
      <c r="D24" s="22"/>
      <c r="E24" s="23" t="str">
        <f aca="false">IF(OR($C24="",$D24=""),"",$D24/$C24)</f>
        <v/>
      </c>
      <c r="F24" s="24" t="str">
        <f aca="false">IF($C24="","",SUM($C$2:$C24))</f>
        <v/>
      </c>
      <c r="G24" s="25" t="str">
        <f aca="false">IF($D24="","",SUM($D$2:$D24))</f>
        <v/>
      </c>
      <c r="H24" s="4"/>
    </row>
    <row r="25" customFormat="false" ht="15" hidden="false" customHeight="false" outlineLevel="0" collapsed="false">
      <c r="A25" s="20"/>
      <c r="B25" s="4"/>
      <c r="C25" s="21"/>
      <c r="D25" s="22"/>
      <c r="E25" s="23" t="str">
        <f aca="false">IF(OR($C25="",$D25=""),"",$D25/$C25)</f>
        <v/>
      </c>
      <c r="F25" s="24" t="str">
        <f aca="false">IF($C25="","",SUM($C$2:$C25))</f>
        <v/>
      </c>
      <c r="G25" s="25" t="str">
        <f aca="false">IF($D25="","",SUM($D$2:$D25))</f>
        <v/>
      </c>
      <c r="H25" s="4"/>
    </row>
    <row r="26" customFormat="false" ht="15" hidden="false" customHeight="false" outlineLevel="0" collapsed="false">
      <c r="A26" s="20"/>
      <c r="B26" s="4"/>
      <c r="C26" s="21"/>
      <c r="D26" s="22"/>
      <c r="E26" s="23" t="str">
        <f aca="false">IF(OR($C26="",$D26=""),"",$D26/$C26)</f>
        <v/>
      </c>
      <c r="F26" s="24" t="str">
        <f aca="false">IF($C26="","",SUM($C$2:$C26))</f>
        <v/>
      </c>
      <c r="G26" s="25" t="str">
        <f aca="false">IF($D26="","",SUM($D$2:$D26))</f>
        <v/>
      </c>
      <c r="H26" s="4"/>
    </row>
    <row r="27" customFormat="false" ht="15" hidden="false" customHeight="false" outlineLevel="0" collapsed="false">
      <c r="A27" s="20"/>
      <c r="B27" s="4"/>
      <c r="C27" s="21"/>
      <c r="D27" s="22"/>
      <c r="E27" s="23" t="str">
        <f aca="false">IF(OR($C27="",$D27=""),"",$D27/$C27)</f>
        <v/>
      </c>
      <c r="F27" s="24" t="str">
        <f aca="false">IF($C27="","",SUM($C$2:$C27))</f>
        <v/>
      </c>
      <c r="G27" s="25" t="str">
        <f aca="false">IF($D27="","",SUM($D$2:$D27))</f>
        <v/>
      </c>
      <c r="H27" s="4"/>
    </row>
    <row r="28" customFormat="false" ht="15" hidden="false" customHeight="false" outlineLevel="0" collapsed="false">
      <c r="A28" s="20"/>
      <c r="B28" s="4"/>
      <c r="C28" s="21"/>
      <c r="D28" s="22"/>
      <c r="E28" s="23" t="str">
        <f aca="false">IF(OR($C28="",$D28=""),"",$D28/$C28)</f>
        <v/>
      </c>
      <c r="F28" s="24" t="str">
        <f aca="false">IF($C28="","",SUM($C$2:$C28))</f>
        <v/>
      </c>
      <c r="G28" s="25" t="str">
        <f aca="false">IF($D28="","",SUM($D$2:$D28))</f>
        <v/>
      </c>
      <c r="H28" s="4"/>
    </row>
    <row r="29" customFormat="false" ht="15" hidden="false" customHeight="false" outlineLevel="0" collapsed="false">
      <c r="A29" s="20"/>
      <c r="B29" s="4"/>
      <c r="C29" s="21"/>
      <c r="D29" s="22"/>
      <c r="E29" s="23" t="str">
        <f aca="false">IF(OR($C29="",$D29=""),"",$D29/$C29)</f>
        <v/>
      </c>
      <c r="F29" s="24" t="str">
        <f aca="false">IF($C29="","",SUM($C$2:$C29))</f>
        <v/>
      </c>
      <c r="G29" s="25" t="str">
        <f aca="false">IF($D29="","",SUM($D$2:$D29))</f>
        <v/>
      </c>
      <c r="H29" s="4"/>
    </row>
    <row r="30" customFormat="false" ht="15" hidden="false" customHeight="false" outlineLevel="0" collapsed="false">
      <c r="A30" s="20"/>
      <c r="B30" s="4"/>
      <c r="C30" s="21"/>
      <c r="D30" s="22"/>
      <c r="E30" s="23" t="str">
        <f aca="false">IF(OR($C30="",$D30=""),"",$D30/$C30)</f>
        <v/>
      </c>
      <c r="F30" s="24" t="str">
        <f aca="false">IF($C30="","",SUM($C$2:$C30))</f>
        <v/>
      </c>
      <c r="G30" s="25" t="str">
        <f aca="false">IF($D30="","",SUM($D$2:$D30))</f>
        <v/>
      </c>
      <c r="H30" s="4"/>
    </row>
    <row r="31" customFormat="false" ht="15" hidden="false" customHeight="false" outlineLevel="0" collapsed="false">
      <c r="A31" s="20"/>
      <c r="B31" s="4"/>
      <c r="C31" s="21"/>
      <c r="D31" s="22"/>
      <c r="E31" s="23" t="str">
        <f aca="false">IF(OR($C31="",$D31=""),"",$D31/$C31)</f>
        <v/>
      </c>
      <c r="F31" s="24" t="str">
        <f aca="false">IF($C31="","",SUM($C$2:$C31))</f>
        <v/>
      </c>
      <c r="G31" s="25" t="str">
        <f aca="false">IF($D31="","",SUM($D$2:$D31))</f>
        <v/>
      </c>
      <c r="H31" s="4"/>
    </row>
    <row r="32" customFormat="false" ht="15" hidden="false" customHeight="false" outlineLevel="0" collapsed="false">
      <c r="A32" s="20"/>
      <c r="B32" s="4"/>
      <c r="C32" s="21"/>
      <c r="D32" s="22"/>
      <c r="E32" s="23" t="str">
        <f aca="false">IF(OR($C32="",$D32=""),"",$D32/$C32)</f>
        <v/>
      </c>
      <c r="F32" s="24" t="str">
        <f aca="false">IF($C32="","",SUM($C$2:$C32))</f>
        <v/>
      </c>
      <c r="G32" s="25" t="str">
        <f aca="false">IF($D32="","",SUM($D$2:$D32))</f>
        <v/>
      </c>
      <c r="H32" s="4"/>
    </row>
    <row r="33" customFormat="false" ht="15" hidden="false" customHeight="false" outlineLevel="0" collapsed="false">
      <c r="A33" s="20"/>
      <c r="B33" s="4"/>
      <c r="C33" s="21"/>
      <c r="D33" s="22"/>
      <c r="E33" s="23" t="str">
        <f aca="false">IF(OR($C33="",$D33=""),"",$D33/$C33)</f>
        <v/>
      </c>
      <c r="F33" s="24" t="str">
        <f aca="false">IF($C33="","",SUM($C$2:$C33))</f>
        <v/>
      </c>
      <c r="G33" s="25" t="str">
        <f aca="false">IF($D33="","",SUM($D$2:$D33))</f>
        <v/>
      </c>
      <c r="H33" s="4"/>
    </row>
    <row r="34" customFormat="false" ht="15" hidden="false" customHeight="false" outlineLevel="0" collapsed="false">
      <c r="A34" s="20"/>
      <c r="B34" s="4"/>
      <c r="C34" s="21"/>
      <c r="D34" s="22"/>
      <c r="E34" s="23" t="str">
        <f aca="false">IF(OR($C34="",$D34=""),"",$D34/$C34)</f>
        <v/>
      </c>
      <c r="F34" s="24" t="str">
        <f aca="false">IF($C34="","",SUM($C$2:$C34))</f>
        <v/>
      </c>
      <c r="G34" s="25" t="str">
        <f aca="false">IF($D34="","",SUM($D$2:$D34))</f>
        <v/>
      </c>
      <c r="H34" s="4"/>
    </row>
    <row r="35" customFormat="false" ht="15" hidden="false" customHeight="false" outlineLevel="0" collapsed="false">
      <c r="A35" s="20"/>
      <c r="B35" s="4"/>
      <c r="C35" s="21"/>
      <c r="D35" s="22"/>
      <c r="E35" s="23" t="str">
        <f aca="false">IF(OR($C35="",$D35=""),"",$D35/$C35)</f>
        <v/>
      </c>
      <c r="F35" s="24" t="str">
        <f aca="false">IF($C35="","",SUM($C$2:$C35))</f>
        <v/>
      </c>
      <c r="G35" s="25" t="str">
        <f aca="false">IF($D35="","",SUM($D$2:$D35))</f>
        <v/>
      </c>
      <c r="H35" s="4"/>
    </row>
    <row r="36" customFormat="false" ht="15" hidden="false" customHeight="false" outlineLevel="0" collapsed="false">
      <c r="A36" s="20"/>
      <c r="B36" s="4"/>
      <c r="C36" s="21"/>
      <c r="D36" s="22"/>
      <c r="E36" s="23" t="str">
        <f aca="false">IF(OR($C36="",$D36=""),"",$D36/$C36)</f>
        <v/>
      </c>
      <c r="F36" s="24" t="str">
        <f aca="false">IF($C36="","",SUM($C$2:$C36))</f>
        <v/>
      </c>
      <c r="G36" s="25" t="str">
        <f aca="false">IF($D36="","",SUM($D$2:$D36))</f>
        <v/>
      </c>
      <c r="H36" s="4"/>
    </row>
    <row r="37" customFormat="false" ht="15" hidden="false" customHeight="false" outlineLevel="0" collapsed="false">
      <c r="A37" s="20"/>
      <c r="B37" s="4"/>
      <c r="C37" s="21"/>
      <c r="D37" s="22"/>
      <c r="E37" s="23" t="str">
        <f aca="false">IF(OR($C37="",$D37=""),"",$D37/$C37)</f>
        <v/>
      </c>
      <c r="F37" s="24" t="str">
        <f aca="false">IF($C37="","",SUM($C$2:$C37))</f>
        <v/>
      </c>
      <c r="G37" s="25" t="str">
        <f aca="false">IF($D37="","",SUM($D$2:$D37))</f>
        <v/>
      </c>
      <c r="H37" s="4"/>
    </row>
    <row r="38" customFormat="false" ht="15" hidden="false" customHeight="false" outlineLevel="0" collapsed="false">
      <c r="A38" s="20"/>
      <c r="B38" s="4"/>
      <c r="C38" s="21"/>
      <c r="D38" s="22"/>
      <c r="E38" s="23" t="str">
        <f aca="false">IF(OR($C38="",$D38=""),"",$D38/$C38)</f>
        <v/>
      </c>
      <c r="F38" s="24" t="str">
        <f aca="false">IF($C38="","",SUM($C$2:$C38))</f>
        <v/>
      </c>
      <c r="G38" s="25" t="str">
        <f aca="false">IF($D38="","",SUM($D$2:$D38))</f>
        <v/>
      </c>
      <c r="H38" s="4"/>
    </row>
    <row r="39" customFormat="false" ht="15" hidden="false" customHeight="false" outlineLevel="0" collapsed="false">
      <c r="A39" s="20"/>
      <c r="B39" s="4"/>
      <c r="C39" s="21"/>
      <c r="D39" s="22"/>
      <c r="E39" s="23" t="str">
        <f aca="false">IF(OR($C39="",$D39=""),"",$D39/$C39)</f>
        <v/>
      </c>
      <c r="F39" s="24" t="str">
        <f aca="false">IF($C39="","",SUM($C$2:$C39))</f>
        <v/>
      </c>
      <c r="G39" s="25" t="str">
        <f aca="false">IF($D39="","",SUM($D$2:$D39))</f>
        <v/>
      </c>
      <c r="H39" s="4"/>
    </row>
    <row r="40" customFormat="false" ht="15" hidden="false" customHeight="false" outlineLevel="0" collapsed="false">
      <c r="A40" s="20"/>
      <c r="B40" s="4"/>
      <c r="C40" s="21"/>
      <c r="D40" s="22"/>
      <c r="E40" s="23" t="str">
        <f aca="false">IF(OR($C40="",$D40=""),"",$D40/$C40)</f>
        <v/>
      </c>
      <c r="F40" s="24" t="str">
        <f aca="false">IF($C40="","",SUM($C$2:$C40))</f>
        <v/>
      </c>
      <c r="G40" s="25" t="str">
        <f aca="false">IF($D40="","",SUM($D$2:$D40))</f>
        <v/>
      </c>
      <c r="H40" s="4"/>
    </row>
    <row r="41" customFormat="false" ht="15" hidden="false" customHeight="false" outlineLevel="0" collapsed="false">
      <c r="A41" s="20"/>
      <c r="B41" s="4"/>
      <c r="C41" s="21"/>
      <c r="D41" s="22"/>
      <c r="E41" s="23" t="str">
        <f aca="false">IF(OR($C41="",$D41=""),"",$D41/$C41)</f>
        <v/>
      </c>
      <c r="F41" s="24" t="str">
        <f aca="false">IF($C41="","",SUM($C$2:$C41))</f>
        <v/>
      </c>
      <c r="G41" s="25" t="str">
        <f aca="false">IF($D41="","",SUM($D$2:$D41))</f>
        <v/>
      </c>
      <c r="H41" s="4"/>
    </row>
    <row r="42" customFormat="false" ht="15" hidden="false" customHeight="false" outlineLevel="0" collapsed="false">
      <c r="A42" s="20"/>
      <c r="B42" s="4"/>
      <c r="C42" s="21"/>
      <c r="D42" s="22"/>
      <c r="E42" s="23" t="str">
        <f aca="false">IF(OR($C42="",$D42=""),"",$D42/$C42)</f>
        <v/>
      </c>
      <c r="F42" s="24" t="str">
        <f aca="false">IF($C42="","",SUM($C$2:$C42))</f>
        <v/>
      </c>
      <c r="G42" s="25" t="str">
        <f aca="false">IF($D42="","",SUM($D$2:$D42))</f>
        <v/>
      </c>
      <c r="H42" s="4"/>
    </row>
    <row r="43" customFormat="false" ht="15" hidden="false" customHeight="false" outlineLevel="0" collapsed="false">
      <c r="A43" s="20"/>
      <c r="B43" s="4"/>
      <c r="C43" s="21"/>
      <c r="D43" s="22"/>
      <c r="E43" s="23" t="str">
        <f aca="false">IF(OR($C43="",$D43=""),"",$D43/$C43)</f>
        <v/>
      </c>
      <c r="F43" s="24" t="str">
        <f aca="false">IF($C43="","",SUM($C$2:$C43))</f>
        <v/>
      </c>
      <c r="G43" s="25" t="str">
        <f aca="false">IF($D43="","",SUM($D$2:$D43))</f>
        <v/>
      </c>
      <c r="H43" s="4"/>
    </row>
    <row r="44" customFormat="false" ht="15" hidden="false" customHeight="false" outlineLevel="0" collapsed="false">
      <c r="A44" s="20"/>
      <c r="B44" s="4"/>
      <c r="C44" s="21"/>
      <c r="D44" s="22"/>
      <c r="E44" s="23" t="str">
        <f aca="false">IF(OR($C44="",$D44=""),"",$D44/$C44)</f>
        <v/>
      </c>
      <c r="F44" s="24" t="str">
        <f aca="false">IF($C44="","",SUM($C$2:$C44))</f>
        <v/>
      </c>
      <c r="G44" s="25" t="str">
        <f aca="false">IF($D44="","",SUM($D$2:$D44))</f>
        <v/>
      </c>
      <c r="H44" s="4"/>
    </row>
    <row r="45" customFormat="false" ht="15" hidden="false" customHeight="false" outlineLevel="0" collapsed="false">
      <c r="A45" s="20"/>
      <c r="B45" s="4"/>
      <c r="C45" s="21"/>
      <c r="D45" s="22"/>
      <c r="E45" s="23" t="str">
        <f aca="false">IF(OR($C45="",$D45=""),"",$D45/$C45)</f>
        <v/>
      </c>
      <c r="F45" s="24" t="str">
        <f aca="false">IF($C45="","",SUM($C$2:$C45))</f>
        <v/>
      </c>
      <c r="G45" s="25" t="str">
        <f aca="false">IF($D45="","",SUM($D$2:$D45))</f>
        <v/>
      </c>
      <c r="H45" s="4"/>
    </row>
    <row r="46" customFormat="false" ht="15" hidden="false" customHeight="false" outlineLevel="0" collapsed="false">
      <c r="A46" s="20"/>
      <c r="B46" s="4"/>
      <c r="C46" s="21"/>
      <c r="D46" s="22"/>
      <c r="E46" s="23" t="str">
        <f aca="false">IF(OR($C46="",$D46=""),"",$D46/$C46)</f>
        <v/>
      </c>
      <c r="F46" s="24" t="str">
        <f aca="false">IF($C46="","",SUM($C$2:$C46))</f>
        <v/>
      </c>
      <c r="G46" s="25" t="str">
        <f aca="false">IF($D46="","",SUM($D$2:$D46))</f>
        <v/>
      </c>
      <c r="H46" s="4"/>
    </row>
    <row r="47" customFormat="false" ht="15" hidden="false" customHeight="false" outlineLevel="0" collapsed="false">
      <c r="A47" s="20"/>
      <c r="B47" s="4"/>
      <c r="C47" s="21"/>
      <c r="D47" s="22"/>
      <c r="E47" s="23" t="str">
        <f aca="false">IF(OR($C47="",$D47=""),"",$D47/$C47)</f>
        <v/>
      </c>
      <c r="F47" s="24" t="str">
        <f aca="false">IF($C47="","",SUM($C$2:$C47))</f>
        <v/>
      </c>
      <c r="G47" s="25" t="str">
        <f aca="false">IF($D47="","",SUM($D$2:$D47))</f>
        <v/>
      </c>
      <c r="H47" s="4"/>
    </row>
    <row r="48" customFormat="false" ht="15" hidden="false" customHeight="false" outlineLevel="0" collapsed="false">
      <c r="A48" s="20"/>
      <c r="B48" s="4"/>
      <c r="C48" s="21"/>
      <c r="D48" s="22"/>
      <c r="E48" s="23" t="str">
        <f aca="false">IF(OR($C48="",$D48=""),"",$D48/$C48)</f>
        <v/>
      </c>
      <c r="F48" s="24" t="str">
        <f aca="false">IF($C48="","",SUM($C$2:$C48))</f>
        <v/>
      </c>
      <c r="G48" s="25" t="str">
        <f aca="false">IF($D48="","",SUM($D$2:$D48))</f>
        <v/>
      </c>
      <c r="H48" s="4"/>
    </row>
    <row r="49" customFormat="false" ht="15" hidden="false" customHeight="false" outlineLevel="0" collapsed="false">
      <c r="A49" s="20"/>
      <c r="B49" s="4"/>
      <c r="C49" s="21"/>
      <c r="D49" s="22"/>
      <c r="E49" s="23" t="str">
        <f aca="false">IF(OR($C49="",$D49=""),"",$D49/$C49)</f>
        <v/>
      </c>
      <c r="F49" s="24" t="str">
        <f aca="false">IF($C49="","",SUM($C$2:$C49))</f>
        <v/>
      </c>
      <c r="G49" s="25" t="str">
        <f aca="false">IF($D49="","",SUM($D$2:$D49))</f>
        <v/>
      </c>
      <c r="H49" s="4"/>
    </row>
    <row r="50" customFormat="false" ht="15" hidden="false" customHeight="false" outlineLevel="0" collapsed="false">
      <c r="A50" s="20"/>
      <c r="B50" s="4"/>
      <c r="C50" s="21"/>
      <c r="D50" s="22"/>
      <c r="E50" s="23" t="str">
        <f aca="false">IF(OR($C50="",$D50=""),"",$D50/$C50)</f>
        <v/>
      </c>
      <c r="F50" s="24" t="str">
        <f aca="false">IF($C50="","",SUM($C$2:$C50))</f>
        <v/>
      </c>
      <c r="G50" s="25" t="str">
        <f aca="false">IF($D50="","",SUM($D$2:$D50))</f>
        <v/>
      </c>
      <c r="H50" s="4"/>
    </row>
    <row r="51" customFormat="false" ht="15" hidden="false" customHeight="false" outlineLevel="0" collapsed="false">
      <c r="A51" s="20"/>
      <c r="B51" s="4"/>
      <c r="C51" s="21"/>
      <c r="D51" s="22"/>
      <c r="E51" s="23" t="str">
        <f aca="false">IF(OR($C51="",$D51=""),"",$D51/$C51)</f>
        <v/>
      </c>
      <c r="F51" s="24" t="str">
        <f aca="false">IF($C51="","",SUM($C$2:$C51))</f>
        <v/>
      </c>
      <c r="G51" s="25" t="str">
        <f aca="false">IF($D51="","",SUM($D$2:$D51))</f>
        <v/>
      </c>
      <c r="H51" s="4"/>
    </row>
    <row r="52" customFormat="false" ht="15" hidden="false" customHeight="false" outlineLevel="0" collapsed="false">
      <c r="A52" s="20"/>
      <c r="B52" s="4"/>
      <c r="C52" s="21"/>
      <c r="D52" s="22"/>
      <c r="E52" s="23" t="str">
        <f aca="false">IF(OR($C52="",$D52=""),"",$D52/$C52)</f>
        <v/>
      </c>
      <c r="F52" s="24" t="str">
        <f aca="false">IF($C52="","",SUM($C$2:$C52))</f>
        <v/>
      </c>
      <c r="G52" s="25" t="str">
        <f aca="false">IF($D52="","",SUM($D$2:$D52))</f>
        <v/>
      </c>
      <c r="H52" s="4"/>
    </row>
    <row r="53" customFormat="false" ht="15" hidden="false" customHeight="false" outlineLevel="0" collapsed="false">
      <c r="A53" s="20"/>
      <c r="B53" s="4"/>
      <c r="C53" s="21"/>
      <c r="D53" s="22"/>
      <c r="E53" s="23" t="str">
        <f aca="false">IF(OR($C53="",$D53=""),"",$D53/$C53)</f>
        <v/>
      </c>
      <c r="F53" s="24" t="str">
        <f aca="false">IF($C53="","",SUM($C$2:$C53))</f>
        <v/>
      </c>
      <c r="G53" s="25" t="str">
        <f aca="false">IF($D53="","",SUM($D$2:$D53))</f>
        <v/>
      </c>
      <c r="H53" s="4"/>
    </row>
    <row r="54" customFormat="false" ht="15" hidden="false" customHeight="false" outlineLevel="0" collapsed="false">
      <c r="A54" s="20"/>
      <c r="B54" s="4"/>
      <c r="C54" s="21"/>
      <c r="D54" s="22"/>
      <c r="E54" s="23" t="str">
        <f aca="false">IF(OR($C54="",$D54=""),"",$D54/$C54)</f>
        <v/>
      </c>
      <c r="F54" s="24" t="str">
        <f aca="false">IF($C54="","",SUM($C$2:$C54))</f>
        <v/>
      </c>
      <c r="G54" s="25" t="str">
        <f aca="false">IF($D54="","",SUM($D$2:$D54))</f>
        <v/>
      </c>
      <c r="H54" s="4"/>
    </row>
    <row r="55" customFormat="false" ht="15" hidden="false" customHeight="false" outlineLevel="0" collapsed="false">
      <c r="A55" s="20"/>
      <c r="B55" s="4"/>
      <c r="C55" s="21"/>
      <c r="D55" s="22"/>
      <c r="E55" s="23" t="str">
        <f aca="false">IF(OR($C55="",$D55=""),"",$D55/$C55)</f>
        <v/>
      </c>
      <c r="F55" s="24" t="str">
        <f aca="false">IF($C55="","",SUM($C$2:$C55))</f>
        <v/>
      </c>
      <c r="G55" s="25" t="str">
        <f aca="false">IF($D55="","",SUM($D$2:$D55))</f>
        <v/>
      </c>
      <c r="H55" s="4"/>
    </row>
    <row r="56" customFormat="false" ht="15" hidden="false" customHeight="false" outlineLevel="0" collapsed="false">
      <c r="A56" s="20"/>
      <c r="B56" s="4"/>
      <c r="C56" s="21"/>
      <c r="D56" s="22"/>
      <c r="E56" s="23" t="str">
        <f aca="false">IF(OR($C56="",$D56=""),"",$D56/$C56)</f>
        <v/>
      </c>
      <c r="F56" s="24" t="str">
        <f aca="false">IF($C56="","",SUM($C$2:$C56))</f>
        <v/>
      </c>
      <c r="G56" s="25" t="str">
        <f aca="false">IF($D56="","",SUM($D$2:$D56))</f>
        <v/>
      </c>
      <c r="H56" s="4"/>
    </row>
    <row r="57" customFormat="false" ht="15" hidden="false" customHeight="false" outlineLevel="0" collapsed="false">
      <c r="A57" s="20"/>
      <c r="B57" s="4"/>
      <c r="C57" s="21"/>
      <c r="D57" s="22"/>
      <c r="E57" s="23" t="str">
        <f aca="false">IF(OR($C57="",$D57=""),"",$D57/$C57)</f>
        <v/>
      </c>
      <c r="F57" s="24" t="str">
        <f aca="false">IF($C57="","",SUM($C$2:$C57))</f>
        <v/>
      </c>
      <c r="G57" s="25" t="str">
        <f aca="false">IF($D57="","",SUM($D$2:$D57))</f>
        <v/>
      </c>
      <c r="H57" s="4"/>
    </row>
    <row r="58" customFormat="false" ht="15" hidden="false" customHeight="false" outlineLevel="0" collapsed="false">
      <c r="A58" s="20"/>
      <c r="B58" s="4"/>
      <c r="C58" s="21"/>
      <c r="D58" s="22"/>
      <c r="E58" s="23" t="str">
        <f aca="false">IF(OR($C58="",$D58=""),"",$D58/$C58)</f>
        <v/>
      </c>
      <c r="F58" s="24" t="str">
        <f aca="false">IF($C58="","",SUM($C$2:$C58))</f>
        <v/>
      </c>
      <c r="G58" s="25" t="str">
        <f aca="false">IF($D58="","",SUM($D$2:$D58))</f>
        <v/>
      </c>
      <c r="H58" s="4"/>
    </row>
    <row r="59" customFormat="false" ht="15" hidden="false" customHeight="false" outlineLevel="0" collapsed="false">
      <c r="A59" s="20"/>
      <c r="B59" s="4"/>
      <c r="C59" s="21"/>
      <c r="D59" s="22"/>
      <c r="E59" s="23" t="str">
        <f aca="false">IF(OR($C59="",$D59=""),"",$D59/$C59)</f>
        <v/>
      </c>
      <c r="F59" s="24" t="str">
        <f aca="false">IF($C59="","",SUM($C$2:$C59))</f>
        <v/>
      </c>
      <c r="G59" s="25" t="str">
        <f aca="false">IF($D59="","",SUM($D$2:$D59))</f>
        <v/>
      </c>
      <c r="H59" s="4"/>
    </row>
    <row r="60" customFormat="false" ht="15" hidden="false" customHeight="false" outlineLevel="0" collapsed="false">
      <c r="A60" s="20"/>
      <c r="B60" s="4"/>
      <c r="C60" s="21"/>
      <c r="D60" s="22"/>
      <c r="E60" s="23" t="str">
        <f aca="false">IF(OR($C60="",$D60=""),"",$D60/$C60)</f>
        <v/>
      </c>
      <c r="F60" s="24" t="str">
        <f aca="false">IF($C60="","",SUM($C$2:$C60))</f>
        <v/>
      </c>
      <c r="G60" s="25" t="str">
        <f aca="false">IF($D60="","",SUM($D$2:$D60))</f>
        <v/>
      </c>
      <c r="H60" s="4"/>
    </row>
    <row r="61" customFormat="false" ht="15" hidden="false" customHeight="false" outlineLevel="0" collapsed="false">
      <c r="A61" s="20"/>
      <c r="B61" s="4"/>
      <c r="C61" s="21"/>
      <c r="D61" s="22"/>
      <c r="E61" s="23" t="str">
        <f aca="false">IF(OR($C61="",$D61=""),"",$D61/$C61)</f>
        <v/>
      </c>
      <c r="F61" s="24" t="str">
        <f aca="false">IF($C61="","",SUM($C$2:$C61))</f>
        <v/>
      </c>
      <c r="G61" s="25" t="str">
        <f aca="false">IF($D61="","",SUM($D$2:$D61))</f>
        <v/>
      </c>
      <c r="H61" s="4"/>
    </row>
    <row r="62" customFormat="false" ht="15" hidden="false" customHeight="false" outlineLevel="0" collapsed="false">
      <c r="A62" s="20"/>
      <c r="B62" s="4"/>
      <c r="C62" s="21"/>
      <c r="D62" s="22"/>
      <c r="E62" s="23" t="str">
        <f aca="false">IF(OR($C62="",$D62=""),"",$D62/$C62)</f>
        <v/>
      </c>
      <c r="F62" s="24" t="str">
        <f aca="false">IF($C62="","",SUM($C$2:$C62))</f>
        <v/>
      </c>
      <c r="G62" s="25" t="str">
        <f aca="false">IF($D62="","",SUM($D$2:$D62))</f>
        <v/>
      </c>
      <c r="H62" s="4"/>
    </row>
    <row r="63" customFormat="false" ht="15" hidden="false" customHeight="false" outlineLevel="0" collapsed="false">
      <c r="A63" s="20"/>
      <c r="B63" s="4"/>
      <c r="C63" s="21"/>
      <c r="D63" s="22"/>
      <c r="E63" s="23" t="str">
        <f aca="false">IF(OR($C63="",$D63=""),"",$D63/$C63)</f>
        <v/>
      </c>
      <c r="F63" s="24" t="str">
        <f aca="false">IF($C63="","",SUM($C$2:$C63))</f>
        <v/>
      </c>
      <c r="G63" s="25" t="str">
        <f aca="false">IF($D63="","",SUM($D$2:$D63))</f>
        <v/>
      </c>
      <c r="H63" s="4"/>
    </row>
    <row r="64" customFormat="false" ht="15" hidden="false" customHeight="false" outlineLevel="0" collapsed="false">
      <c r="A64" s="20"/>
      <c r="B64" s="4"/>
      <c r="C64" s="21"/>
      <c r="D64" s="22"/>
      <c r="E64" s="23" t="str">
        <f aca="false">IF(OR($C64="",$D64=""),"",$D64/$C64)</f>
        <v/>
      </c>
      <c r="F64" s="24" t="str">
        <f aca="false">IF($C64="","",SUM($C$2:$C64))</f>
        <v/>
      </c>
      <c r="G64" s="25" t="str">
        <f aca="false">IF($D64="","",SUM($D$2:$D64))</f>
        <v/>
      </c>
      <c r="H64" s="4"/>
    </row>
    <row r="65" customFormat="false" ht="15" hidden="false" customHeight="false" outlineLevel="0" collapsed="false">
      <c r="A65" s="20"/>
      <c r="B65" s="4"/>
      <c r="C65" s="21"/>
      <c r="D65" s="22"/>
      <c r="E65" s="23" t="str">
        <f aca="false">IF(OR($C65="",$D65=""),"",$D65/$C65)</f>
        <v/>
      </c>
      <c r="F65" s="24" t="str">
        <f aca="false">IF($C65="","",SUM($C$2:$C65))</f>
        <v/>
      </c>
      <c r="G65" s="25" t="str">
        <f aca="false">IF($D65="","",SUM($D$2:$D65))</f>
        <v/>
      </c>
      <c r="H65" s="4"/>
    </row>
    <row r="66" customFormat="false" ht="15" hidden="false" customHeight="false" outlineLevel="0" collapsed="false">
      <c r="A66" s="20"/>
      <c r="B66" s="4"/>
      <c r="C66" s="21"/>
      <c r="D66" s="22"/>
      <c r="E66" s="23" t="str">
        <f aca="false">IF(OR($C66="",$D66=""),"",$D66/$C66)</f>
        <v/>
      </c>
      <c r="F66" s="24" t="str">
        <f aca="false">IF($C66="","",SUM($C$2:$C66))</f>
        <v/>
      </c>
      <c r="G66" s="25" t="str">
        <f aca="false">IF($D66="","",SUM($D$2:$D66))</f>
        <v/>
      </c>
      <c r="H66" s="4"/>
    </row>
    <row r="67" customFormat="false" ht="15" hidden="false" customHeight="false" outlineLevel="0" collapsed="false">
      <c r="A67" s="20"/>
      <c r="B67" s="4"/>
      <c r="C67" s="21"/>
      <c r="D67" s="22"/>
      <c r="E67" s="23" t="str">
        <f aca="false">IF(OR($C67="",$D67=""),"",$D67/$C67)</f>
        <v/>
      </c>
      <c r="F67" s="24" t="str">
        <f aca="false">IF($C67="","",SUM($C$2:$C67))</f>
        <v/>
      </c>
      <c r="G67" s="25" t="str">
        <f aca="false">IF($D67="","",SUM($D$2:$D67))</f>
        <v/>
      </c>
      <c r="H67" s="4"/>
    </row>
    <row r="68" customFormat="false" ht="15" hidden="false" customHeight="false" outlineLevel="0" collapsed="false">
      <c r="A68" s="20"/>
      <c r="B68" s="4"/>
      <c r="C68" s="21"/>
      <c r="D68" s="22"/>
      <c r="E68" s="23" t="str">
        <f aca="false">IF(OR($C68="",$D68=""),"",$D68/$C68)</f>
        <v/>
      </c>
      <c r="F68" s="24" t="str">
        <f aca="false">IF($C68="","",SUM($C$2:$C68))</f>
        <v/>
      </c>
      <c r="G68" s="25" t="str">
        <f aca="false">IF($D68="","",SUM($D$2:$D68))</f>
        <v/>
      </c>
      <c r="H68" s="4"/>
    </row>
    <row r="69" customFormat="false" ht="15" hidden="false" customHeight="false" outlineLevel="0" collapsed="false">
      <c r="A69" s="20"/>
      <c r="B69" s="4"/>
      <c r="C69" s="21"/>
      <c r="D69" s="22"/>
      <c r="E69" s="23" t="str">
        <f aca="false">IF(OR($C69="",$D69=""),"",$D69/$C69)</f>
        <v/>
      </c>
      <c r="F69" s="24" t="str">
        <f aca="false">IF($C69="","",SUM($C$2:$C69))</f>
        <v/>
      </c>
      <c r="G69" s="25" t="str">
        <f aca="false">IF($D69="","",SUM($D$2:$D69))</f>
        <v/>
      </c>
      <c r="H69" s="4"/>
    </row>
    <row r="70" customFormat="false" ht="15" hidden="false" customHeight="false" outlineLevel="0" collapsed="false">
      <c r="A70" s="20"/>
      <c r="B70" s="4"/>
      <c r="C70" s="21"/>
      <c r="D70" s="22"/>
      <c r="E70" s="23" t="str">
        <f aca="false">IF(OR($C70="",$D70=""),"",$D70/$C70)</f>
        <v/>
      </c>
      <c r="F70" s="24" t="str">
        <f aca="false">IF($C70="","",SUM($C$2:$C70))</f>
        <v/>
      </c>
      <c r="G70" s="25" t="str">
        <f aca="false">IF($D70="","",SUM($D$2:$D70))</f>
        <v/>
      </c>
      <c r="H70" s="4"/>
    </row>
    <row r="71" customFormat="false" ht="15" hidden="false" customHeight="false" outlineLevel="0" collapsed="false">
      <c r="A71" s="20"/>
      <c r="B71" s="4"/>
      <c r="C71" s="21"/>
      <c r="D71" s="22"/>
      <c r="E71" s="23" t="str">
        <f aca="false">IF(OR($C71="",$D71=""),"",$D71/$C71)</f>
        <v/>
      </c>
      <c r="F71" s="24" t="str">
        <f aca="false">IF($C71="","",SUM($C$2:$C71))</f>
        <v/>
      </c>
      <c r="G71" s="25" t="str">
        <f aca="false">IF($D71="","",SUM($D$2:$D71))</f>
        <v/>
      </c>
      <c r="H71" s="4"/>
    </row>
    <row r="72" customFormat="false" ht="15" hidden="false" customHeight="false" outlineLevel="0" collapsed="false">
      <c r="A72" s="20"/>
      <c r="B72" s="4"/>
      <c r="C72" s="21"/>
      <c r="D72" s="22"/>
      <c r="E72" s="23" t="str">
        <f aca="false">IF(OR($C72="",$D72=""),"",$D72/$C72)</f>
        <v/>
      </c>
      <c r="F72" s="24" t="str">
        <f aca="false">IF($C72="","",SUM($C$2:$C72))</f>
        <v/>
      </c>
      <c r="G72" s="25" t="str">
        <f aca="false">IF($D72="","",SUM($D$2:$D72))</f>
        <v/>
      </c>
      <c r="H72" s="4"/>
    </row>
    <row r="73" customFormat="false" ht="15" hidden="false" customHeight="false" outlineLevel="0" collapsed="false">
      <c r="A73" s="20"/>
      <c r="B73" s="4"/>
      <c r="C73" s="21"/>
      <c r="D73" s="22"/>
      <c r="E73" s="23" t="str">
        <f aca="false">IF(OR($C73="",$D73=""),"",$D73/$C73)</f>
        <v/>
      </c>
      <c r="F73" s="24" t="str">
        <f aca="false">IF($C73="","",SUM($C$2:$C73))</f>
        <v/>
      </c>
      <c r="G73" s="25" t="str">
        <f aca="false">IF($D73="","",SUM($D$2:$D73))</f>
        <v/>
      </c>
      <c r="H73" s="4"/>
    </row>
    <row r="74" customFormat="false" ht="15" hidden="false" customHeight="false" outlineLevel="0" collapsed="false">
      <c r="A74" s="20"/>
      <c r="B74" s="4"/>
      <c r="C74" s="21"/>
      <c r="D74" s="22"/>
      <c r="E74" s="23" t="str">
        <f aca="false">IF(OR($C74="",$D74=""),"",$D74/$C74)</f>
        <v/>
      </c>
      <c r="F74" s="24" t="str">
        <f aca="false">IF($C74="","",SUM($C$2:$C74))</f>
        <v/>
      </c>
      <c r="G74" s="25" t="str">
        <f aca="false">IF($D74="","",SUM($D$2:$D74))</f>
        <v/>
      </c>
      <c r="H74" s="4"/>
    </row>
    <row r="75" customFormat="false" ht="15" hidden="false" customHeight="false" outlineLevel="0" collapsed="false">
      <c r="A75" s="20"/>
      <c r="B75" s="4"/>
      <c r="C75" s="21"/>
      <c r="D75" s="22"/>
      <c r="E75" s="23" t="str">
        <f aca="false">IF(OR($C75="",$D75=""),"",$D75/$C75)</f>
        <v/>
      </c>
      <c r="F75" s="24" t="str">
        <f aca="false">IF($C75="","",SUM($C$2:$C75))</f>
        <v/>
      </c>
      <c r="G75" s="25" t="str">
        <f aca="false">IF($D75="","",SUM($D$2:$D75))</f>
        <v/>
      </c>
      <c r="H75" s="4"/>
    </row>
    <row r="76" customFormat="false" ht="15" hidden="false" customHeight="false" outlineLevel="0" collapsed="false">
      <c r="A76" s="20"/>
      <c r="B76" s="4"/>
      <c r="C76" s="21"/>
      <c r="D76" s="22"/>
      <c r="E76" s="23" t="str">
        <f aca="false">IF(OR($C76="",$D76=""),"",$D76/$C76)</f>
        <v/>
      </c>
      <c r="F76" s="24" t="str">
        <f aca="false">IF($C76="","",SUM($C$2:$C76))</f>
        <v/>
      </c>
      <c r="G76" s="25" t="str">
        <f aca="false">IF($D76="","",SUM($D$2:$D76))</f>
        <v/>
      </c>
      <c r="H76" s="4"/>
    </row>
    <row r="77" customFormat="false" ht="15" hidden="false" customHeight="false" outlineLevel="0" collapsed="false">
      <c r="A77" s="20"/>
      <c r="B77" s="4"/>
      <c r="C77" s="21"/>
      <c r="D77" s="22"/>
      <c r="E77" s="23" t="str">
        <f aca="false">IF(OR($C77="",$D77=""),"",$D77/$C77)</f>
        <v/>
      </c>
      <c r="F77" s="24" t="str">
        <f aca="false">IF($C77="","",SUM($C$2:$C77))</f>
        <v/>
      </c>
      <c r="G77" s="25" t="str">
        <f aca="false">IF($D77="","",SUM($D$2:$D77))</f>
        <v/>
      </c>
      <c r="H77" s="4"/>
    </row>
    <row r="78" customFormat="false" ht="15" hidden="false" customHeight="false" outlineLevel="0" collapsed="false">
      <c r="A78" s="20"/>
      <c r="B78" s="4"/>
      <c r="C78" s="21"/>
      <c r="D78" s="22"/>
      <c r="E78" s="23" t="str">
        <f aca="false">IF(OR($C78="",$D78=""),"",$D78/$C78)</f>
        <v/>
      </c>
      <c r="F78" s="24" t="str">
        <f aca="false">IF($C78="","",SUM($C$2:$C78))</f>
        <v/>
      </c>
      <c r="G78" s="25" t="str">
        <f aca="false">IF($D78="","",SUM($D$2:$D78))</f>
        <v/>
      </c>
      <c r="H78" s="4"/>
    </row>
    <row r="79" customFormat="false" ht="15" hidden="false" customHeight="false" outlineLevel="0" collapsed="false">
      <c r="A79" s="20"/>
      <c r="B79" s="4"/>
      <c r="C79" s="21"/>
      <c r="D79" s="22"/>
      <c r="E79" s="23" t="str">
        <f aca="false">IF(OR($C79="",$D79=""),"",$D79/$C79)</f>
        <v/>
      </c>
      <c r="F79" s="24" t="str">
        <f aca="false">IF($C79="","",SUM($C$2:$C79))</f>
        <v/>
      </c>
      <c r="G79" s="25" t="str">
        <f aca="false">IF($D79="","",SUM($D$2:$D79))</f>
        <v/>
      </c>
      <c r="H79" s="4"/>
    </row>
    <row r="80" customFormat="false" ht="15" hidden="false" customHeight="false" outlineLevel="0" collapsed="false">
      <c r="A80" s="20"/>
      <c r="B80" s="4"/>
      <c r="C80" s="21"/>
      <c r="D80" s="22"/>
      <c r="E80" s="23" t="str">
        <f aca="false">IF(OR($C80="",$D80=""),"",$D80/$C80)</f>
        <v/>
      </c>
      <c r="F80" s="24" t="str">
        <f aca="false">IF($C80="","",SUM($C$2:$C80))</f>
        <v/>
      </c>
      <c r="G80" s="25" t="str">
        <f aca="false">IF($D80="","",SUM($D$2:$D80))</f>
        <v/>
      </c>
      <c r="H80" s="4"/>
    </row>
    <row r="81" customFormat="false" ht="15" hidden="false" customHeight="false" outlineLevel="0" collapsed="false">
      <c r="A81" s="20"/>
      <c r="B81" s="4"/>
      <c r="C81" s="21"/>
      <c r="D81" s="22"/>
      <c r="E81" s="23" t="str">
        <f aca="false">IF(OR($C81="",$D81=""),"",$D81/$C81)</f>
        <v/>
      </c>
      <c r="F81" s="24" t="str">
        <f aca="false">IF($C81="","",SUM($C$2:$C81))</f>
        <v/>
      </c>
      <c r="G81" s="25" t="str">
        <f aca="false">IF($D81="","",SUM($D$2:$D81))</f>
        <v/>
      </c>
      <c r="H81" s="4"/>
    </row>
    <row r="82" customFormat="false" ht="15" hidden="false" customHeight="false" outlineLevel="0" collapsed="false">
      <c r="A82" s="20"/>
      <c r="B82" s="4"/>
      <c r="C82" s="21"/>
      <c r="D82" s="22"/>
      <c r="E82" s="23" t="str">
        <f aca="false">IF(OR($C82="",$D82=""),"",$D82/$C82)</f>
        <v/>
      </c>
      <c r="F82" s="24" t="str">
        <f aca="false">IF($C82="","",SUM($C$2:$C82))</f>
        <v/>
      </c>
      <c r="G82" s="25" t="str">
        <f aca="false">IF($D82="","",SUM($D$2:$D82))</f>
        <v/>
      </c>
      <c r="H82" s="4"/>
    </row>
    <row r="83" customFormat="false" ht="15" hidden="false" customHeight="false" outlineLevel="0" collapsed="false">
      <c r="A83" s="20"/>
      <c r="B83" s="4"/>
      <c r="C83" s="21"/>
      <c r="D83" s="22"/>
      <c r="E83" s="23" t="str">
        <f aca="false">IF(OR($C83="",$D83=""),"",$D83/$C83)</f>
        <v/>
      </c>
      <c r="F83" s="24" t="str">
        <f aca="false">IF($C83="","",SUM($C$2:$C83))</f>
        <v/>
      </c>
      <c r="G83" s="25" t="str">
        <f aca="false">IF($D83="","",SUM($D$2:$D83))</f>
        <v/>
      </c>
      <c r="H83" s="4"/>
    </row>
    <row r="84" customFormat="false" ht="15" hidden="false" customHeight="false" outlineLevel="0" collapsed="false">
      <c r="A84" s="20"/>
      <c r="B84" s="4"/>
      <c r="C84" s="21"/>
      <c r="D84" s="22"/>
      <c r="E84" s="23" t="str">
        <f aca="false">IF(OR($C84="",$D84=""),"",$D84/$C84)</f>
        <v/>
      </c>
      <c r="F84" s="24" t="str">
        <f aca="false">IF($C84="","",SUM($C$2:$C84))</f>
        <v/>
      </c>
      <c r="G84" s="25" t="str">
        <f aca="false">IF($D84="","",SUM($D$2:$D84))</f>
        <v/>
      </c>
      <c r="H84" s="4"/>
    </row>
    <row r="85" customFormat="false" ht="15" hidden="false" customHeight="false" outlineLevel="0" collapsed="false">
      <c r="A85" s="20"/>
      <c r="B85" s="4"/>
      <c r="C85" s="21"/>
      <c r="D85" s="22"/>
      <c r="E85" s="23" t="str">
        <f aca="false">IF(OR($C85="",$D85=""),"",$D85/$C85)</f>
        <v/>
      </c>
      <c r="F85" s="24" t="str">
        <f aca="false">IF($C85="","",SUM($C$2:$C85))</f>
        <v/>
      </c>
      <c r="G85" s="25" t="str">
        <f aca="false">IF($D85="","",SUM($D$2:$D85))</f>
        <v/>
      </c>
      <c r="H85" s="4"/>
    </row>
    <row r="86" customFormat="false" ht="15" hidden="false" customHeight="false" outlineLevel="0" collapsed="false">
      <c r="A86" s="20"/>
      <c r="B86" s="4"/>
      <c r="C86" s="21"/>
      <c r="D86" s="22"/>
      <c r="E86" s="23" t="str">
        <f aca="false">IF(OR($C86="",$D86=""),"",$D86/$C86)</f>
        <v/>
      </c>
      <c r="F86" s="24" t="str">
        <f aca="false">IF($C86="","",SUM($C$2:$C86))</f>
        <v/>
      </c>
      <c r="G86" s="25" t="str">
        <f aca="false">IF($D86="","",SUM($D$2:$D86))</f>
        <v/>
      </c>
      <c r="H86" s="4"/>
    </row>
    <row r="87" customFormat="false" ht="15" hidden="false" customHeight="false" outlineLevel="0" collapsed="false">
      <c r="A87" s="20"/>
      <c r="B87" s="4"/>
      <c r="C87" s="21"/>
      <c r="D87" s="22"/>
      <c r="E87" s="23" t="str">
        <f aca="false">IF(OR($C87="",$D87=""),"",$D87/$C87)</f>
        <v/>
      </c>
      <c r="F87" s="24" t="str">
        <f aca="false">IF($C87="","",SUM($C$2:$C87))</f>
        <v/>
      </c>
      <c r="G87" s="25" t="str">
        <f aca="false">IF($D87="","",SUM($D$2:$D87))</f>
        <v/>
      </c>
      <c r="H87" s="4"/>
    </row>
    <row r="88" customFormat="false" ht="15" hidden="false" customHeight="false" outlineLevel="0" collapsed="false">
      <c r="A88" s="20"/>
      <c r="B88" s="4"/>
      <c r="C88" s="21"/>
      <c r="D88" s="22"/>
      <c r="E88" s="23" t="str">
        <f aca="false">IF(OR($C88="",$D88=""),"",$D88/$C88)</f>
        <v/>
      </c>
      <c r="F88" s="24" t="str">
        <f aca="false">IF($C88="","",SUM($C$2:$C88))</f>
        <v/>
      </c>
      <c r="G88" s="25" t="str">
        <f aca="false">IF($D88="","",SUM($D$2:$D88))</f>
        <v/>
      </c>
      <c r="H88" s="4"/>
    </row>
    <row r="89" customFormat="false" ht="15" hidden="false" customHeight="false" outlineLevel="0" collapsed="false">
      <c r="A89" s="20"/>
      <c r="B89" s="4"/>
      <c r="C89" s="21"/>
      <c r="D89" s="22"/>
      <c r="E89" s="23" t="str">
        <f aca="false">IF(OR($C89="",$D89=""),"",$D89/$C89)</f>
        <v/>
      </c>
      <c r="F89" s="24" t="str">
        <f aca="false">IF($C89="","",SUM($C$2:$C89))</f>
        <v/>
      </c>
      <c r="G89" s="25" t="str">
        <f aca="false">IF($D89="","",SUM($D$2:$D89))</f>
        <v/>
      </c>
      <c r="H89" s="4"/>
    </row>
    <row r="90" customFormat="false" ht="15" hidden="false" customHeight="false" outlineLevel="0" collapsed="false">
      <c r="A90" s="20"/>
      <c r="B90" s="4"/>
      <c r="C90" s="21"/>
      <c r="D90" s="22"/>
      <c r="E90" s="23" t="str">
        <f aca="false">IF(OR($C90="",$D90=""),"",$D90/$C90)</f>
        <v/>
      </c>
      <c r="F90" s="24" t="str">
        <f aca="false">IF($C90="","",SUM($C$2:$C90))</f>
        <v/>
      </c>
      <c r="G90" s="25" t="str">
        <f aca="false">IF($D90="","",SUM($D$2:$D90))</f>
        <v/>
      </c>
      <c r="H90" s="4"/>
    </row>
    <row r="91" customFormat="false" ht="15" hidden="false" customHeight="false" outlineLevel="0" collapsed="false">
      <c r="A91" s="20"/>
      <c r="B91" s="4"/>
      <c r="C91" s="21"/>
      <c r="D91" s="22"/>
      <c r="E91" s="23" t="str">
        <f aca="false">IF(OR($C91="",$D91=""),"",$D91/$C91)</f>
        <v/>
      </c>
      <c r="F91" s="24" t="str">
        <f aca="false">IF($C91="","",SUM($C$2:$C91))</f>
        <v/>
      </c>
      <c r="G91" s="25" t="str">
        <f aca="false">IF($D91="","",SUM($D$2:$D91))</f>
        <v/>
      </c>
      <c r="H91" s="4"/>
    </row>
    <row r="92" customFormat="false" ht="15" hidden="false" customHeight="false" outlineLevel="0" collapsed="false">
      <c r="A92" s="20"/>
      <c r="B92" s="4"/>
      <c r="C92" s="21"/>
      <c r="D92" s="22"/>
      <c r="E92" s="23" t="str">
        <f aca="false">IF(OR($C92="",$D92=""),"",$D92/$C92)</f>
        <v/>
      </c>
      <c r="F92" s="24" t="str">
        <f aca="false">IF($C92="","",SUM($C$2:$C92))</f>
        <v/>
      </c>
      <c r="G92" s="25" t="str">
        <f aca="false">IF($D92="","",SUM($D$2:$D92))</f>
        <v/>
      </c>
      <c r="H92" s="4"/>
    </row>
    <row r="93" customFormat="false" ht="15" hidden="false" customHeight="false" outlineLevel="0" collapsed="false">
      <c r="A93" s="20"/>
      <c r="B93" s="4"/>
      <c r="C93" s="21"/>
      <c r="D93" s="22"/>
      <c r="E93" s="23" t="str">
        <f aca="false">IF(OR($C93="",$D93=""),"",$D93/$C93)</f>
        <v/>
      </c>
      <c r="F93" s="24" t="str">
        <f aca="false">IF($C93="","",SUM($C$2:$C93))</f>
        <v/>
      </c>
      <c r="G93" s="25" t="str">
        <f aca="false">IF($D93="","",SUM($D$2:$D93))</f>
        <v/>
      </c>
      <c r="H93" s="4"/>
    </row>
    <row r="94" customFormat="false" ht="15" hidden="false" customHeight="false" outlineLevel="0" collapsed="false">
      <c r="A94" s="20"/>
      <c r="B94" s="4"/>
      <c r="C94" s="21"/>
      <c r="D94" s="22"/>
      <c r="E94" s="23" t="str">
        <f aca="false">IF(OR($C94="",$D94=""),"",$D94/$C94)</f>
        <v/>
      </c>
      <c r="F94" s="24" t="str">
        <f aca="false">IF($C94="","",SUM($C$2:$C94))</f>
        <v/>
      </c>
      <c r="G94" s="25" t="str">
        <f aca="false">IF($D94="","",SUM($D$2:$D94))</f>
        <v/>
      </c>
      <c r="H94" s="4"/>
    </row>
    <row r="95" customFormat="false" ht="15" hidden="false" customHeight="false" outlineLevel="0" collapsed="false">
      <c r="A95" s="20"/>
      <c r="B95" s="4"/>
      <c r="C95" s="21"/>
      <c r="D95" s="22"/>
      <c r="E95" s="23" t="str">
        <f aca="false">IF(OR($C95="",$D95=""),"",$D95/$C95)</f>
        <v/>
      </c>
      <c r="F95" s="24" t="str">
        <f aca="false">IF($C95="","",SUM($C$2:$C95))</f>
        <v/>
      </c>
      <c r="G95" s="25" t="str">
        <f aca="false">IF($D95="","",SUM($D$2:$D95))</f>
        <v/>
      </c>
      <c r="H95" s="4"/>
    </row>
    <row r="96" customFormat="false" ht="15" hidden="false" customHeight="false" outlineLevel="0" collapsed="false">
      <c r="A96" s="20"/>
      <c r="B96" s="4"/>
      <c r="C96" s="21"/>
      <c r="D96" s="22"/>
      <c r="E96" s="23" t="str">
        <f aca="false">IF(OR($C96="",$D96=""),"",$D96/$C96)</f>
        <v/>
      </c>
      <c r="F96" s="24" t="str">
        <f aca="false">IF($C96="","",SUM($C$2:$C96))</f>
        <v/>
      </c>
      <c r="G96" s="25" t="str">
        <f aca="false">IF($D96="","",SUM($D$2:$D96))</f>
        <v/>
      </c>
      <c r="H96" s="4"/>
    </row>
    <row r="97" customFormat="false" ht="15" hidden="false" customHeight="false" outlineLevel="0" collapsed="false">
      <c r="A97" s="20"/>
      <c r="B97" s="4"/>
      <c r="C97" s="21"/>
      <c r="D97" s="22"/>
      <c r="E97" s="23" t="str">
        <f aca="false">IF(OR($C97="",$D97=""),"",$D97/$C97)</f>
        <v/>
      </c>
      <c r="F97" s="24" t="str">
        <f aca="false">IF($C97="","",SUM($C$2:$C97))</f>
        <v/>
      </c>
      <c r="G97" s="25" t="str">
        <f aca="false">IF($D97="","",SUM($D$2:$D97))</f>
        <v/>
      </c>
      <c r="H97" s="4"/>
    </row>
    <row r="98" customFormat="false" ht="15" hidden="false" customHeight="false" outlineLevel="0" collapsed="false">
      <c r="A98" s="20"/>
      <c r="B98" s="4"/>
      <c r="C98" s="21"/>
      <c r="D98" s="22"/>
      <c r="E98" s="23" t="str">
        <f aca="false">IF(OR($C98="",$D98=""),"",$D98/$C98)</f>
        <v/>
      </c>
      <c r="F98" s="24" t="str">
        <f aca="false">IF($C98="","",SUM($C$2:$C98))</f>
        <v/>
      </c>
      <c r="G98" s="25" t="str">
        <f aca="false">IF($D98="","",SUM($D$2:$D98))</f>
        <v/>
      </c>
      <c r="H98" s="4"/>
    </row>
    <row r="99" customFormat="false" ht="15" hidden="false" customHeight="false" outlineLevel="0" collapsed="false">
      <c r="A99" s="20"/>
      <c r="B99" s="4"/>
      <c r="C99" s="21"/>
      <c r="D99" s="22"/>
      <c r="E99" s="23" t="str">
        <f aca="false">IF(OR($C99="",$D99=""),"",$D99/$C99)</f>
        <v/>
      </c>
      <c r="F99" s="24" t="str">
        <f aca="false">IF($C99="","",SUM($C$2:$C99))</f>
        <v/>
      </c>
      <c r="G99" s="25" t="str">
        <f aca="false">IF($D99="","",SUM($D$2:$D99))</f>
        <v/>
      </c>
      <c r="H99" s="4"/>
    </row>
    <row r="100" customFormat="false" ht="15" hidden="false" customHeight="false" outlineLevel="0" collapsed="false">
      <c r="A100" s="20"/>
      <c r="B100" s="4"/>
      <c r="C100" s="21"/>
      <c r="D100" s="22"/>
      <c r="E100" s="23" t="str">
        <f aca="false">IF(OR($C100="",$D100=""),"",$D100/$C100)</f>
        <v/>
      </c>
      <c r="F100" s="24" t="str">
        <f aca="false">IF($C100="","",SUM($C$2:$C100))</f>
        <v/>
      </c>
      <c r="G100" s="25" t="str">
        <f aca="false">IF($D100="","",SUM($D$2:$D100))</f>
        <v/>
      </c>
      <c r="H100" s="4"/>
    </row>
    <row r="101" customFormat="false" ht="15" hidden="false" customHeight="false" outlineLevel="0" collapsed="false">
      <c r="A101" s="20"/>
      <c r="B101" s="4"/>
      <c r="C101" s="21"/>
      <c r="D101" s="22"/>
      <c r="E101" s="23" t="str">
        <f aca="false">IF(OR($C101="",$D101=""),"",$D101/$C101)</f>
        <v/>
      </c>
      <c r="F101" s="24" t="str">
        <f aca="false">IF($C101="","",SUM($C$2:$C101))</f>
        <v/>
      </c>
      <c r="G101" s="25" t="str">
        <f aca="false">IF($D101="","",SUM($D$2:$D101))</f>
        <v/>
      </c>
      <c r="H101" s="4"/>
    </row>
    <row r="102" customFormat="false" ht="15" hidden="false" customHeight="false" outlineLevel="0" collapsed="false">
      <c r="A102" s="20"/>
      <c r="B102" s="4"/>
      <c r="C102" s="21"/>
      <c r="D102" s="22"/>
      <c r="E102" s="23" t="str">
        <f aca="false">IF(OR($C102="",$D102=""),"",$D102/$C102)</f>
        <v/>
      </c>
      <c r="F102" s="24" t="str">
        <f aca="false">IF($C102="","",SUM($C$2:$C102))</f>
        <v/>
      </c>
      <c r="G102" s="25" t="str">
        <f aca="false">IF($D102="","",SUM($D$2:$D102))</f>
        <v/>
      </c>
      <c r="H102" s="4"/>
    </row>
    <row r="103" customFormat="false" ht="15" hidden="false" customHeight="false" outlineLevel="0" collapsed="false">
      <c r="A103" s="20"/>
      <c r="B103" s="4"/>
      <c r="C103" s="21"/>
      <c r="D103" s="22"/>
      <c r="E103" s="23" t="str">
        <f aca="false">IF(OR($C103="",$D103=""),"",$D103/$C103)</f>
        <v/>
      </c>
      <c r="F103" s="24" t="str">
        <f aca="false">IF($C103="","",SUM($C$2:$C103))</f>
        <v/>
      </c>
      <c r="G103" s="25" t="str">
        <f aca="false">IF($D103="","",SUM($D$2:$D103))</f>
        <v/>
      </c>
      <c r="H103" s="4"/>
    </row>
    <row r="104" customFormat="false" ht="15" hidden="false" customHeight="false" outlineLevel="0" collapsed="false">
      <c r="A104" s="20"/>
      <c r="B104" s="4"/>
      <c r="C104" s="21"/>
      <c r="D104" s="22"/>
      <c r="E104" s="23" t="str">
        <f aca="false">IF(OR($C104="",$D104=""),"",$D104/$C104)</f>
        <v/>
      </c>
      <c r="F104" s="24" t="str">
        <f aca="false">IF($C104="","",SUM($C$2:$C104))</f>
        <v/>
      </c>
      <c r="G104" s="25" t="str">
        <f aca="false">IF($D104="","",SUM($D$2:$D104))</f>
        <v/>
      </c>
      <c r="H104" s="4"/>
    </row>
    <row r="105" customFormat="false" ht="15" hidden="false" customHeight="false" outlineLevel="0" collapsed="false">
      <c r="A105" s="20"/>
      <c r="B105" s="4"/>
      <c r="C105" s="21"/>
      <c r="D105" s="22"/>
      <c r="E105" s="23" t="str">
        <f aca="false">IF(OR($C105="",$D105=""),"",$D105/$C105)</f>
        <v/>
      </c>
      <c r="F105" s="24" t="str">
        <f aca="false">IF($C105="","",SUM($C$2:$C105))</f>
        <v/>
      </c>
      <c r="G105" s="25" t="str">
        <f aca="false">IF($D105="","",SUM($D$2:$D105))</f>
        <v/>
      </c>
      <c r="H105" s="4"/>
    </row>
    <row r="106" customFormat="false" ht="15" hidden="false" customHeight="false" outlineLevel="0" collapsed="false">
      <c r="A106" s="20"/>
      <c r="B106" s="4"/>
      <c r="C106" s="21"/>
      <c r="D106" s="22"/>
      <c r="E106" s="23" t="str">
        <f aca="false">IF(OR($C106="",$D106=""),"",$D106/$C106)</f>
        <v/>
      </c>
      <c r="F106" s="24" t="str">
        <f aca="false">IF($C106="","",SUM($C$2:$C106))</f>
        <v/>
      </c>
      <c r="G106" s="25" t="str">
        <f aca="false">IF($D106="","",SUM($D$2:$D106))</f>
        <v/>
      </c>
      <c r="H106" s="4"/>
    </row>
    <row r="107" customFormat="false" ht="15" hidden="false" customHeight="false" outlineLevel="0" collapsed="false">
      <c r="A107" s="20"/>
      <c r="B107" s="4"/>
      <c r="C107" s="21"/>
      <c r="D107" s="22"/>
      <c r="E107" s="23" t="str">
        <f aca="false">IF(OR($C107="",$D107=""),"",$D107/$C107)</f>
        <v/>
      </c>
      <c r="F107" s="24" t="str">
        <f aca="false">IF($C107="","",SUM($C$2:$C107))</f>
        <v/>
      </c>
      <c r="G107" s="25" t="str">
        <f aca="false">IF($D107="","",SUM($D$2:$D107))</f>
        <v/>
      </c>
      <c r="H107" s="4"/>
    </row>
    <row r="108" customFormat="false" ht="15" hidden="false" customHeight="false" outlineLevel="0" collapsed="false">
      <c r="A108" s="20"/>
      <c r="B108" s="4"/>
      <c r="C108" s="21"/>
      <c r="D108" s="22"/>
      <c r="E108" s="23" t="str">
        <f aca="false">IF(OR($C108="",$D108=""),"",$D108/$C108)</f>
        <v/>
      </c>
      <c r="F108" s="24" t="str">
        <f aca="false">IF($C108="","",SUM($C$2:$C108))</f>
        <v/>
      </c>
      <c r="G108" s="25" t="str">
        <f aca="false">IF($D108="","",SUM($D$2:$D108))</f>
        <v/>
      </c>
      <c r="H108" s="4"/>
    </row>
    <row r="109" customFormat="false" ht="15" hidden="false" customHeight="false" outlineLevel="0" collapsed="false">
      <c r="A109" s="20"/>
      <c r="B109" s="4"/>
      <c r="C109" s="21"/>
      <c r="D109" s="22"/>
      <c r="E109" s="23" t="str">
        <f aca="false">IF(OR($C109="",$D109=""),"",$D109/$C109)</f>
        <v/>
      </c>
      <c r="F109" s="24" t="str">
        <f aca="false">IF($C109="","",SUM($C$2:$C109))</f>
        <v/>
      </c>
      <c r="G109" s="25" t="str">
        <f aca="false">IF($D109="","",SUM($D$2:$D109))</f>
        <v/>
      </c>
      <c r="H109" s="4"/>
    </row>
    <row r="110" customFormat="false" ht="15" hidden="false" customHeight="false" outlineLevel="0" collapsed="false">
      <c r="A110" s="20"/>
      <c r="B110" s="4"/>
      <c r="C110" s="21"/>
      <c r="D110" s="22"/>
      <c r="E110" s="23" t="str">
        <f aca="false">IF(OR($C110="",$D110=""),"",$D110/$C110)</f>
        <v/>
      </c>
      <c r="F110" s="24" t="str">
        <f aca="false">IF($C110="","",SUM($C$2:$C110))</f>
        <v/>
      </c>
      <c r="G110" s="25" t="str">
        <f aca="false">IF($D110="","",SUM($D$2:$D110))</f>
        <v/>
      </c>
      <c r="H110" s="4"/>
    </row>
    <row r="111" customFormat="false" ht="15" hidden="false" customHeight="false" outlineLevel="0" collapsed="false">
      <c r="A111" s="20"/>
      <c r="B111" s="4"/>
      <c r="C111" s="21"/>
      <c r="D111" s="22"/>
      <c r="E111" s="23" t="str">
        <f aca="false">IF(OR($C111="",$D111=""),"",$D111/$C111)</f>
        <v/>
      </c>
      <c r="F111" s="24" t="str">
        <f aca="false">IF($C111="","",SUM($C$2:$C111))</f>
        <v/>
      </c>
      <c r="G111" s="25" t="str">
        <f aca="false">IF($D111="","",SUM($D$2:$D111))</f>
        <v/>
      </c>
      <c r="H111" s="4"/>
    </row>
    <row r="112" customFormat="false" ht="15" hidden="false" customHeight="false" outlineLevel="0" collapsed="false">
      <c r="A112" s="20"/>
      <c r="B112" s="4"/>
      <c r="C112" s="21"/>
      <c r="D112" s="22"/>
      <c r="E112" s="23" t="str">
        <f aca="false">IF(OR($C112="",$D112=""),"",$D112/$C112)</f>
        <v/>
      </c>
      <c r="F112" s="24" t="str">
        <f aca="false">IF($C112="","",SUM($C$2:$C112))</f>
        <v/>
      </c>
      <c r="G112" s="25" t="str">
        <f aca="false">IF($D112="","",SUM($D$2:$D112))</f>
        <v/>
      </c>
      <c r="H112" s="4"/>
    </row>
    <row r="113" customFormat="false" ht="15" hidden="false" customHeight="false" outlineLevel="0" collapsed="false">
      <c r="A113" s="20"/>
      <c r="B113" s="4"/>
      <c r="C113" s="21"/>
      <c r="D113" s="22"/>
      <c r="E113" s="23" t="str">
        <f aca="false">IF(OR($C113="",$D113=""),"",$D113/$C113)</f>
        <v/>
      </c>
      <c r="F113" s="24" t="str">
        <f aca="false">IF($C113="","",SUM($C$2:$C113))</f>
        <v/>
      </c>
      <c r="G113" s="25" t="str">
        <f aca="false">IF($D113="","",SUM($D$2:$D113))</f>
        <v/>
      </c>
      <c r="H113" s="4"/>
    </row>
    <row r="114" customFormat="false" ht="15" hidden="false" customHeight="false" outlineLevel="0" collapsed="false">
      <c r="A114" s="20"/>
      <c r="B114" s="4"/>
      <c r="C114" s="21"/>
      <c r="D114" s="22"/>
      <c r="E114" s="23" t="str">
        <f aca="false">IF(OR($C114="",$D114=""),"",$D114/$C114)</f>
        <v/>
      </c>
      <c r="F114" s="24" t="str">
        <f aca="false">IF($C114="","",SUM($C$2:$C114))</f>
        <v/>
      </c>
      <c r="G114" s="25" t="str">
        <f aca="false">IF($D114="","",SUM($D$2:$D114))</f>
        <v/>
      </c>
      <c r="H114" s="4"/>
    </row>
    <row r="115" customFormat="false" ht="15" hidden="false" customHeight="false" outlineLevel="0" collapsed="false">
      <c r="A115" s="20"/>
      <c r="B115" s="4"/>
      <c r="C115" s="21"/>
      <c r="D115" s="22"/>
      <c r="E115" s="23" t="str">
        <f aca="false">IF(OR($C115="",$D115=""),"",$D115/$C115)</f>
        <v/>
      </c>
      <c r="F115" s="24" t="str">
        <f aca="false">IF($C115="","",SUM($C$2:$C115))</f>
        <v/>
      </c>
      <c r="G115" s="25" t="str">
        <f aca="false">IF($D115="","",SUM($D$2:$D115))</f>
        <v/>
      </c>
      <c r="H115" s="4"/>
    </row>
    <row r="116" customFormat="false" ht="15" hidden="false" customHeight="false" outlineLevel="0" collapsed="false">
      <c r="A116" s="20"/>
      <c r="B116" s="4"/>
      <c r="C116" s="21"/>
      <c r="D116" s="22"/>
      <c r="E116" s="23" t="str">
        <f aca="false">IF(OR($C116="",$D116=""),"",$D116/$C116)</f>
        <v/>
      </c>
      <c r="F116" s="24" t="str">
        <f aca="false">IF($C116="","",SUM($C$2:$C116))</f>
        <v/>
      </c>
      <c r="G116" s="25" t="str">
        <f aca="false">IF($D116="","",SUM($D$2:$D116))</f>
        <v/>
      </c>
      <c r="H116" s="4"/>
    </row>
    <row r="117" customFormat="false" ht="15" hidden="false" customHeight="false" outlineLevel="0" collapsed="false">
      <c r="A117" s="20"/>
      <c r="B117" s="4"/>
      <c r="C117" s="21"/>
      <c r="D117" s="22"/>
      <c r="E117" s="23" t="str">
        <f aca="false">IF(OR($C117="",$D117=""),"",$D117/$C117)</f>
        <v/>
      </c>
      <c r="F117" s="24" t="str">
        <f aca="false">IF($C117="","",SUM($C$2:$C117))</f>
        <v/>
      </c>
      <c r="G117" s="25" t="str">
        <f aca="false">IF($D117="","",SUM($D$2:$D117))</f>
        <v/>
      </c>
      <c r="H117" s="4"/>
    </row>
    <row r="118" customFormat="false" ht="15" hidden="false" customHeight="false" outlineLevel="0" collapsed="false">
      <c r="A118" s="20"/>
      <c r="B118" s="4"/>
      <c r="C118" s="21"/>
      <c r="D118" s="22"/>
      <c r="E118" s="23" t="str">
        <f aca="false">IF(OR($C118="",$D118=""),"",$D118/$C118)</f>
        <v/>
      </c>
      <c r="F118" s="24" t="str">
        <f aca="false">IF($C118="","",SUM($C$2:$C118))</f>
        <v/>
      </c>
      <c r="G118" s="25" t="str">
        <f aca="false">IF($D118="","",SUM($D$2:$D118))</f>
        <v/>
      </c>
      <c r="H118" s="4"/>
    </row>
    <row r="119" customFormat="false" ht="15" hidden="false" customHeight="false" outlineLevel="0" collapsed="false">
      <c r="A119" s="20"/>
      <c r="B119" s="4"/>
      <c r="C119" s="21"/>
      <c r="D119" s="22"/>
      <c r="E119" s="23" t="str">
        <f aca="false">IF(OR($C119="",$D119=""),"",$D119/$C119)</f>
        <v/>
      </c>
      <c r="F119" s="24" t="str">
        <f aca="false">IF($C119="","",SUM($C$2:$C119))</f>
        <v/>
      </c>
      <c r="G119" s="25" t="str">
        <f aca="false">IF($D119="","",SUM($D$2:$D119))</f>
        <v/>
      </c>
      <c r="H119" s="4"/>
    </row>
    <row r="120" customFormat="false" ht="15" hidden="false" customHeight="false" outlineLevel="0" collapsed="false">
      <c r="A120" s="20"/>
      <c r="B120" s="4"/>
      <c r="C120" s="21"/>
      <c r="D120" s="22"/>
      <c r="E120" s="23" t="str">
        <f aca="false">IF(OR($C120="",$D120=""),"",$D120/$C120)</f>
        <v/>
      </c>
      <c r="F120" s="24" t="str">
        <f aca="false">IF($C120="","",SUM($C$2:$C120))</f>
        <v/>
      </c>
      <c r="G120" s="25" t="str">
        <f aca="false">IF($D120="","",SUM($D$2:$D120))</f>
        <v/>
      </c>
      <c r="H120" s="4"/>
    </row>
    <row r="121" customFormat="false" ht="15" hidden="false" customHeight="false" outlineLevel="0" collapsed="false">
      <c r="A121" s="20"/>
      <c r="B121" s="4"/>
      <c r="C121" s="21"/>
      <c r="D121" s="22"/>
      <c r="E121" s="23" t="str">
        <f aca="false">IF(OR($C121="",$D121=""),"",$D121/$C121)</f>
        <v/>
      </c>
      <c r="F121" s="24" t="str">
        <f aca="false">IF($C121="","",SUM($C$2:$C121))</f>
        <v/>
      </c>
      <c r="G121" s="25" t="str">
        <f aca="false">IF($D121="","",SUM($D$2:$D121))</f>
        <v/>
      </c>
      <c r="H121" s="4"/>
    </row>
    <row r="122" customFormat="false" ht="15" hidden="false" customHeight="false" outlineLevel="0" collapsed="false">
      <c r="A122" s="20"/>
      <c r="B122" s="4"/>
      <c r="C122" s="21"/>
      <c r="D122" s="22"/>
      <c r="E122" s="23" t="str">
        <f aca="false">IF(OR($C122="",$D122=""),"",$D122/$C122)</f>
        <v/>
      </c>
      <c r="F122" s="24" t="str">
        <f aca="false">IF($C122="","",SUM($C$2:$C122))</f>
        <v/>
      </c>
      <c r="G122" s="25" t="str">
        <f aca="false">IF($D122="","",SUM($D$2:$D122))</f>
        <v/>
      </c>
      <c r="H122" s="4"/>
    </row>
    <row r="123" customFormat="false" ht="15" hidden="false" customHeight="false" outlineLevel="0" collapsed="false">
      <c r="A123" s="20"/>
      <c r="B123" s="4"/>
      <c r="C123" s="21"/>
      <c r="D123" s="22"/>
      <c r="E123" s="23" t="str">
        <f aca="false">IF(OR($C123="",$D123=""),"",$D123/$C123)</f>
        <v/>
      </c>
      <c r="F123" s="24" t="str">
        <f aca="false">IF($C123="","",SUM($C$2:$C123))</f>
        <v/>
      </c>
      <c r="G123" s="25" t="str">
        <f aca="false">IF($D123="","",SUM($D$2:$D123))</f>
        <v/>
      </c>
      <c r="H123" s="4"/>
    </row>
    <row r="124" customFormat="false" ht="15" hidden="false" customHeight="false" outlineLevel="0" collapsed="false">
      <c r="A124" s="20"/>
      <c r="B124" s="4"/>
      <c r="C124" s="21"/>
      <c r="D124" s="22"/>
      <c r="E124" s="23" t="str">
        <f aca="false">IF(OR($C124="",$D124=""),"",$D124/$C124)</f>
        <v/>
      </c>
      <c r="F124" s="24" t="str">
        <f aca="false">IF($C124="","",SUM($C$2:$C124))</f>
        <v/>
      </c>
      <c r="G124" s="25" t="str">
        <f aca="false">IF($D124="","",SUM($D$2:$D124))</f>
        <v/>
      </c>
      <c r="H124" s="4"/>
    </row>
    <row r="125" customFormat="false" ht="15" hidden="false" customHeight="false" outlineLevel="0" collapsed="false">
      <c r="A125" s="20"/>
      <c r="B125" s="4"/>
      <c r="C125" s="21"/>
      <c r="D125" s="22"/>
      <c r="E125" s="23" t="str">
        <f aca="false">IF(OR($C125="",$D125=""),"",$D125/$C125)</f>
        <v/>
      </c>
      <c r="F125" s="24" t="str">
        <f aca="false">IF($C125="","",SUM($C$2:$C125))</f>
        <v/>
      </c>
      <c r="G125" s="25" t="str">
        <f aca="false">IF($D125="","",SUM($D$2:$D125))</f>
        <v/>
      </c>
      <c r="H125" s="4"/>
    </row>
    <row r="126" customFormat="false" ht="15" hidden="false" customHeight="false" outlineLevel="0" collapsed="false">
      <c r="A126" s="20"/>
      <c r="B126" s="4"/>
      <c r="C126" s="21"/>
      <c r="D126" s="22"/>
      <c r="E126" s="23" t="str">
        <f aca="false">IF(OR($C126="",$D126=""),"",$D126/$C126)</f>
        <v/>
      </c>
      <c r="F126" s="24" t="str">
        <f aca="false">IF($C126="","",SUM($C$2:$C126))</f>
        <v/>
      </c>
      <c r="G126" s="25" t="str">
        <f aca="false">IF($D126="","",SUM($D$2:$D126))</f>
        <v/>
      </c>
      <c r="H126" s="4"/>
    </row>
    <row r="127" customFormat="false" ht="15" hidden="false" customHeight="false" outlineLevel="0" collapsed="false">
      <c r="A127" s="20"/>
      <c r="B127" s="4"/>
      <c r="C127" s="21"/>
      <c r="D127" s="22"/>
      <c r="E127" s="23" t="str">
        <f aca="false">IF(OR($C127="",$D127=""),"",$D127/$C127)</f>
        <v/>
      </c>
      <c r="F127" s="24" t="str">
        <f aca="false">IF($C127="","",SUM($C$2:$C127))</f>
        <v/>
      </c>
      <c r="G127" s="25" t="str">
        <f aca="false">IF($D127="","",SUM($D$2:$D127))</f>
        <v/>
      </c>
      <c r="H127" s="4"/>
    </row>
    <row r="128" customFormat="false" ht="15" hidden="false" customHeight="false" outlineLevel="0" collapsed="false">
      <c r="A128" s="20"/>
      <c r="B128" s="4"/>
      <c r="C128" s="21"/>
      <c r="D128" s="22"/>
      <c r="E128" s="23" t="str">
        <f aca="false">IF(OR($C128="",$D128=""),"",$D128/$C128)</f>
        <v/>
      </c>
      <c r="F128" s="24" t="str">
        <f aca="false">IF($C128="","",SUM($C$2:$C128))</f>
        <v/>
      </c>
      <c r="G128" s="25" t="str">
        <f aca="false">IF($D128="","",SUM($D$2:$D128))</f>
        <v/>
      </c>
      <c r="H128" s="4"/>
    </row>
    <row r="129" customFormat="false" ht="15" hidden="false" customHeight="false" outlineLevel="0" collapsed="false">
      <c r="A129" s="20"/>
      <c r="B129" s="4"/>
      <c r="C129" s="21"/>
      <c r="D129" s="22"/>
      <c r="E129" s="23" t="str">
        <f aca="false">IF(OR($C129="",$D129=""),"",$D129/$C129)</f>
        <v/>
      </c>
      <c r="F129" s="24" t="str">
        <f aca="false">IF($C129="","",SUM($C$2:$C129))</f>
        <v/>
      </c>
      <c r="G129" s="25" t="str">
        <f aca="false">IF($D129="","",SUM($D$2:$D129))</f>
        <v/>
      </c>
      <c r="H129" s="4"/>
    </row>
    <row r="130" customFormat="false" ht="15" hidden="false" customHeight="false" outlineLevel="0" collapsed="false">
      <c r="A130" s="20"/>
      <c r="B130" s="4"/>
      <c r="C130" s="21"/>
      <c r="D130" s="22"/>
      <c r="E130" s="23" t="str">
        <f aca="false">IF(OR($C130="",$D130=""),"",$D130/$C130)</f>
        <v/>
      </c>
      <c r="F130" s="24" t="str">
        <f aca="false">IF($C130="","",SUM($C$2:$C130))</f>
        <v/>
      </c>
      <c r="G130" s="25" t="str">
        <f aca="false">IF($D130="","",SUM($D$2:$D130))</f>
        <v/>
      </c>
      <c r="H130" s="4"/>
    </row>
    <row r="131" customFormat="false" ht="15" hidden="false" customHeight="false" outlineLevel="0" collapsed="false">
      <c r="A131" s="20"/>
      <c r="B131" s="4"/>
      <c r="C131" s="21"/>
      <c r="D131" s="22"/>
      <c r="E131" s="23" t="str">
        <f aca="false">IF(OR($C131="",$D131=""),"",$D131/$C131)</f>
        <v/>
      </c>
      <c r="F131" s="24" t="str">
        <f aca="false">IF($C131="","",SUM($C$2:$C131))</f>
        <v/>
      </c>
      <c r="G131" s="25" t="str">
        <f aca="false">IF($D131="","",SUM($D$2:$D131))</f>
        <v/>
      </c>
      <c r="H131" s="4"/>
    </row>
    <row r="132" customFormat="false" ht="15" hidden="false" customHeight="false" outlineLevel="0" collapsed="false">
      <c r="A132" s="20"/>
      <c r="B132" s="4"/>
      <c r="C132" s="21"/>
      <c r="D132" s="22"/>
      <c r="E132" s="23" t="str">
        <f aca="false">IF(OR($C132="",$D132=""),"",$D132/$C132)</f>
        <v/>
      </c>
      <c r="F132" s="24" t="str">
        <f aca="false">IF($C132="","",SUM($C$2:$C132))</f>
        <v/>
      </c>
      <c r="G132" s="25" t="str">
        <f aca="false">IF($D132="","",SUM($D$2:$D132))</f>
        <v/>
      </c>
      <c r="H132" s="4"/>
    </row>
    <row r="133" customFormat="false" ht="15" hidden="false" customHeight="false" outlineLevel="0" collapsed="false">
      <c r="A133" s="20"/>
      <c r="B133" s="4"/>
      <c r="C133" s="21"/>
      <c r="D133" s="22"/>
      <c r="E133" s="23" t="str">
        <f aca="false">IF(OR($C133="",$D133=""),"",$D133/$C133)</f>
        <v/>
      </c>
      <c r="F133" s="24" t="str">
        <f aca="false">IF($C133="","",SUM($C$2:$C133))</f>
        <v/>
      </c>
      <c r="G133" s="25" t="str">
        <f aca="false">IF($D133="","",SUM($D$2:$D133))</f>
        <v/>
      </c>
      <c r="H133" s="4"/>
    </row>
    <row r="134" customFormat="false" ht="15" hidden="false" customHeight="false" outlineLevel="0" collapsed="false">
      <c r="A134" s="20"/>
      <c r="B134" s="4"/>
      <c r="C134" s="21"/>
      <c r="D134" s="22"/>
      <c r="E134" s="23" t="str">
        <f aca="false">IF(OR($C134="",$D134=""),"",$D134/$C134)</f>
        <v/>
      </c>
      <c r="F134" s="24" t="str">
        <f aca="false">IF($C134="","",SUM($C$2:$C134))</f>
        <v/>
      </c>
      <c r="G134" s="25" t="str">
        <f aca="false">IF($D134="","",SUM($D$2:$D134))</f>
        <v/>
      </c>
      <c r="H134" s="4"/>
    </row>
    <row r="135" customFormat="false" ht="15" hidden="false" customHeight="false" outlineLevel="0" collapsed="false">
      <c r="A135" s="20"/>
      <c r="B135" s="4"/>
      <c r="C135" s="21"/>
      <c r="D135" s="22"/>
      <c r="E135" s="23" t="str">
        <f aca="false">IF(OR($C135="",$D135=""),"",$D135/$C135)</f>
        <v/>
      </c>
      <c r="F135" s="24" t="str">
        <f aca="false">IF($C135="","",SUM($C$2:$C135))</f>
        <v/>
      </c>
      <c r="G135" s="25" t="str">
        <f aca="false">IF($D135="","",SUM($D$2:$D135))</f>
        <v/>
      </c>
      <c r="H135" s="4"/>
    </row>
    <row r="136" customFormat="false" ht="15" hidden="false" customHeight="false" outlineLevel="0" collapsed="false">
      <c r="A136" s="20"/>
      <c r="B136" s="4"/>
      <c r="C136" s="21"/>
      <c r="D136" s="22"/>
      <c r="E136" s="23" t="str">
        <f aca="false">IF(OR($C136="",$D136=""),"",$D136/$C136)</f>
        <v/>
      </c>
      <c r="F136" s="24" t="str">
        <f aca="false">IF($C136="","",SUM($C$2:$C136))</f>
        <v/>
      </c>
      <c r="G136" s="25" t="str">
        <f aca="false">IF($D136="","",SUM($D$2:$D136))</f>
        <v/>
      </c>
      <c r="H136" s="4"/>
    </row>
    <row r="137" customFormat="false" ht="15" hidden="false" customHeight="false" outlineLevel="0" collapsed="false">
      <c r="A137" s="20"/>
      <c r="B137" s="4"/>
      <c r="C137" s="21"/>
      <c r="D137" s="22"/>
      <c r="E137" s="23" t="str">
        <f aca="false">IF(OR($C137="",$D137=""),"",$D137/$C137)</f>
        <v/>
      </c>
      <c r="F137" s="24" t="str">
        <f aca="false">IF($C137="","",SUM($C$2:$C137))</f>
        <v/>
      </c>
      <c r="G137" s="25" t="str">
        <f aca="false">IF($D137="","",SUM($D$2:$D137))</f>
        <v/>
      </c>
      <c r="H137" s="4"/>
    </row>
    <row r="138" customFormat="false" ht="15" hidden="false" customHeight="false" outlineLevel="0" collapsed="false">
      <c r="A138" s="20"/>
      <c r="B138" s="4"/>
      <c r="C138" s="21"/>
      <c r="D138" s="22"/>
      <c r="E138" s="23" t="str">
        <f aca="false">IF(OR($C138="",$D138=""),"",$D138/$C138)</f>
        <v/>
      </c>
      <c r="F138" s="24" t="str">
        <f aca="false">IF($C138="","",SUM($C$2:$C138))</f>
        <v/>
      </c>
      <c r="G138" s="25" t="str">
        <f aca="false">IF($D138="","",SUM($D$2:$D138))</f>
        <v/>
      </c>
      <c r="H138" s="4"/>
    </row>
    <row r="139" customFormat="false" ht="15" hidden="false" customHeight="false" outlineLevel="0" collapsed="false">
      <c r="A139" s="20"/>
      <c r="B139" s="4"/>
      <c r="C139" s="21"/>
      <c r="D139" s="22"/>
      <c r="E139" s="23" t="str">
        <f aca="false">IF(OR($C139="",$D139=""),"",$D139/$C139)</f>
        <v/>
      </c>
      <c r="F139" s="24" t="str">
        <f aca="false">IF($C139="","",SUM($C$2:$C139))</f>
        <v/>
      </c>
      <c r="G139" s="25" t="str">
        <f aca="false">IF($D139="","",SUM($D$2:$D139))</f>
        <v/>
      </c>
      <c r="H139" s="4"/>
    </row>
    <row r="140" customFormat="false" ht="15" hidden="false" customHeight="false" outlineLevel="0" collapsed="false">
      <c r="A140" s="20"/>
      <c r="B140" s="4"/>
      <c r="C140" s="21"/>
      <c r="D140" s="22"/>
      <c r="E140" s="23" t="str">
        <f aca="false">IF(OR($C140="",$D140=""),"",$D140/$C140)</f>
        <v/>
      </c>
      <c r="F140" s="24" t="str">
        <f aca="false">IF($C140="","",SUM($C$2:$C140))</f>
        <v/>
      </c>
      <c r="G140" s="25" t="str">
        <f aca="false">IF($D140="","",SUM($D$2:$D140))</f>
        <v/>
      </c>
      <c r="H140" s="4"/>
    </row>
    <row r="141" customFormat="false" ht="15" hidden="false" customHeight="false" outlineLevel="0" collapsed="false">
      <c r="A141" s="20"/>
      <c r="B141" s="4"/>
      <c r="C141" s="21"/>
      <c r="D141" s="22"/>
      <c r="E141" s="23" t="str">
        <f aca="false">IF(OR($C141="",$D141=""),"",$D141/$C141)</f>
        <v/>
      </c>
      <c r="F141" s="24" t="str">
        <f aca="false">IF($C141="","",SUM($C$2:$C141))</f>
        <v/>
      </c>
      <c r="G141" s="25" t="str">
        <f aca="false">IF($D141="","",SUM($D$2:$D141))</f>
        <v/>
      </c>
      <c r="H141" s="4"/>
    </row>
    <row r="142" customFormat="false" ht="15" hidden="false" customHeight="false" outlineLevel="0" collapsed="false">
      <c r="A142" s="20"/>
      <c r="B142" s="4"/>
      <c r="C142" s="21"/>
      <c r="D142" s="22"/>
      <c r="E142" s="23" t="str">
        <f aca="false">IF(OR($C142="",$D142=""),"",$D142/$C142)</f>
        <v/>
      </c>
      <c r="F142" s="24" t="str">
        <f aca="false">IF($C142="","",SUM($C$2:$C142))</f>
        <v/>
      </c>
      <c r="G142" s="25" t="str">
        <f aca="false">IF($D142="","",SUM($D$2:$D142))</f>
        <v/>
      </c>
      <c r="H142" s="4"/>
    </row>
    <row r="143" customFormat="false" ht="15" hidden="false" customHeight="false" outlineLevel="0" collapsed="false">
      <c r="A143" s="20"/>
      <c r="B143" s="4"/>
      <c r="C143" s="21"/>
      <c r="D143" s="22"/>
      <c r="E143" s="23" t="str">
        <f aca="false">IF(OR($C143="",$D143=""),"",$D143/$C143)</f>
        <v/>
      </c>
      <c r="F143" s="24" t="str">
        <f aca="false">IF($C143="","",SUM($C$2:$C143))</f>
        <v/>
      </c>
      <c r="G143" s="25" t="str">
        <f aca="false">IF($D143="","",SUM($D$2:$D143))</f>
        <v/>
      </c>
      <c r="H143" s="4"/>
    </row>
    <row r="144" customFormat="false" ht="15" hidden="false" customHeight="false" outlineLevel="0" collapsed="false">
      <c r="A144" s="20"/>
      <c r="B144" s="4"/>
      <c r="C144" s="21"/>
      <c r="D144" s="22"/>
      <c r="E144" s="23" t="str">
        <f aca="false">IF(OR($C144="",$D144=""),"",$D144/$C144)</f>
        <v/>
      </c>
      <c r="F144" s="24" t="str">
        <f aca="false">IF($C144="","",SUM($C$2:$C144))</f>
        <v/>
      </c>
      <c r="G144" s="25" t="str">
        <f aca="false">IF($D144="","",SUM($D$2:$D144))</f>
        <v/>
      </c>
      <c r="H144" s="4"/>
    </row>
    <row r="145" customFormat="false" ht="15" hidden="false" customHeight="false" outlineLevel="0" collapsed="false">
      <c r="A145" s="20"/>
      <c r="B145" s="4"/>
      <c r="C145" s="21"/>
      <c r="D145" s="22"/>
      <c r="E145" s="23" t="str">
        <f aca="false">IF(OR($C145="",$D145=""),"",$D145/$C145)</f>
        <v/>
      </c>
      <c r="F145" s="24" t="str">
        <f aca="false">IF($C145="","",SUM($C$2:$C145))</f>
        <v/>
      </c>
      <c r="G145" s="25" t="str">
        <f aca="false">IF($D145="","",SUM($D$2:$D145))</f>
        <v/>
      </c>
      <c r="H145" s="4"/>
    </row>
    <row r="146" customFormat="false" ht="15" hidden="false" customHeight="false" outlineLevel="0" collapsed="false">
      <c r="A146" s="20"/>
      <c r="B146" s="4"/>
      <c r="C146" s="21"/>
      <c r="D146" s="22"/>
      <c r="E146" s="23" t="str">
        <f aca="false">IF(OR($C146="",$D146=""),"",$D146/$C146)</f>
        <v/>
      </c>
      <c r="F146" s="24" t="str">
        <f aca="false">IF($C146="","",SUM($C$2:$C146))</f>
        <v/>
      </c>
      <c r="G146" s="25" t="str">
        <f aca="false">IF($D146="","",SUM($D$2:$D146))</f>
        <v/>
      </c>
      <c r="H146" s="4"/>
    </row>
    <row r="147" customFormat="false" ht="15" hidden="false" customHeight="false" outlineLevel="0" collapsed="false">
      <c r="A147" s="20"/>
      <c r="B147" s="4"/>
      <c r="C147" s="21"/>
      <c r="D147" s="22"/>
      <c r="E147" s="23" t="str">
        <f aca="false">IF(OR($C147="",$D147=""),"",$D147/$C147)</f>
        <v/>
      </c>
      <c r="F147" s="24" t="str">
        <f aca="false">IF($C147="","",SUM($C$2:$C147))</f>
        <v/>
      </c>
      <c r="G147" s="25" t="str">
        <f aca="false">IF($D147="","",SUM($D$2:$D147))</f>
        <v/>
      </c>
      <c r="H147" s="4"/>
    </row>
    <row r="148" customFormat="false" ht="15" hidden="false" customHeight="false" outlineLevel="0" collapsed="false">
      <c r="A148" s="20"/>
      <c r="B148" s="4"/>
      <c r="C148" s="21"/>
      <c r="D148" s="22"/>
      <c r="E148" s="23" t="str">
        <f aca="false">IF(OR($C148="",$D148=""),"",$D148/$C148)</f>
        <v/>
      </c>
      <c r="F148" s="24" t="str">
        <f aca="false">IF($C148="","",SUM($C$2:$C148))</f>
        <v/>
      </c>
      <c r="G148" s="25" t="str">
        <f aca="false">IF($D148="","",SUM($D$2:$D148))</f>
        <v/>
      </c>
      <c r="H148" s="4"/>
    </row>
    <row r="149" customFormat="false" ht="15" hidden="false" customHeight="false" outlineLevel="0" collapsed="false">
      <c r="A149" s="20"/>
      <c r="B149" s="4"/>
      <c r="C149" s="21"/>
      <c r="D149" s="22"/>
      <c r="E149" s="23" t="str">
        <f aca="false">IF(OR($C149="",$D149=""),"",$D149/$C149)</f>
        <v/>
      </c>
      <c r="F149" s="24" t="str">
        <f aca="false">IF($C149="","",SUM($C$2:$C149))</f>
        <v/>
      </c>
      <c r="G149" s="25" t="str">
        <f aca="false">IF($D149="","",SUM($D$2:$D149))</f>
        <v/>
      </c>
      <c r="H149" s="4"/>
    </row>
    <row r="150" customFormat="false" ht="15" hidden="false" customHeight="false" outlineLevel="0" collapsed="false">
      <c r="A150" s="20"/>
      <c r="B150" s="4"/>
      <c r="C150" s="21"/>
      <c r="D150" s="22"/>
      <c r="E150" s="23" t="str">
        <f aca="false">IF(OR($C150="",$D150=""),"",$D150/$C150)</f>
        <v/>
      </c>
      <c r="F150" s="24" t="str">
        <f aca="false">IF($C150="","",SUM($C$2:$C150))</f>
        <v/>
      </c>
      <c r="G150" s="25" t="str">
        <f aca="false">IF($D150="","",SUM($D$2:$D150))</f>
        <v/>
      </c>
      <c r="H150" s="4"/>
    </row>
    <row r="151" customFormat="false" ht="15" hidden="false" customHeight="false" outlineLevel="0" collapsed="false">
      <c r="A151" s="20"/>
      <c r="B151" s="4"/>
      <c r="C151" s="21"/>
      <c r="D151" s="22"/>
      <c r="E151" s="23" t="str">
        <f aca="false">IF(OR($C151="",$D151=""),"",$D151/$C151)</f>
        <v/>
      </c>
      <c r="F151" s="24" t="str">
        <f aca="false">IF($C151="","",SUM($C$2:$C151))</f>
        <v/>
      </c>
      <c r="G151" s="25" t="str">
        <f aca="false">IF($D151="","",SUM($D$2:$D151))</f>
        <v/>
      </c>
      <c r="H151" s="4"/>
    </row>
    <row r="152" customFormat="false" ht="15" hidden="false" customHeight="false" outlineLevel="0" collapsed="false">
      <c r="A152" s="20"/>
      <c r="B152" s="4"/>
      <c r="C152" s="21"/>
      <c r="D152" s="22"/>
      <c r="E152" s="23" t="str">
        <f aca="false">IF(OR($C152="",$D152=""),"",$D152/$C152)</f>
        <v/>
      </c>
      <c r="F152" s="24" t="str">
        <f aca="false">IF($C152="","",SUM($C$2:$C152))</f>
        <v/>
      </c>
      <c r="G152" s="25" t="str">
        <f aca="false">IF($D152="","",SUM($D$2:$D152))</f>
        <v/>
      </c>
      <c r="H152" s="4"/>
    </row>
    <row r="153" customFormat="false" ht="15" hidden="false" customHeight="false" outlineLevel="0" collapsed="false">
      <c r="A153" s="20"/>
      <c r="B153" s="4"/>
      <c r="C153" s="21"/>
      <c r="D153" s="22"/>
      <c r="E153" s="23" t="str">
        <f aca="false">IF(OR($C153="",$D153=""),"",$D153/$C153)</f>
        <v/>
      </c>
      <c r="F153" s="24" t="str">
        <f aca="false">IF($C153="","",SUM($C$2:$C153))</f>
        <v/>
      </c>
      <c r="G153" s="25" t="str">
        <f aca="false">IF($D153="","",SUM($D$2:$D153))</f>
        <v/>
      </c>
      <c r="H153" s="4"/>
    </row>
    <row r="154" customFormat="false" ht="15" hidden="false" customHeight="false" outlineLevel="0" collapsed="false">
      <c r="A154" s="20"/>
      <c r="B154" s="4"/>
      <c r="C154" s="21"/>
      <c r="D154" s="22"/>
      <c r="E154" s="23" t="str">
        <f aca="false">IF(OR($C154="",$D154=""),"",$D154/$C154)</f>
        <v/>
      </c>
      <c r="F154" s="24" t="str">
        <f aca="false">IF($C154="","",SUM($C$2:$C154))</f>
        <v/>
      </c>
      <c r="G154" s="25" t="str">
        <f aca="false">IF($D154="","",SUM($D$2:$D154))</f>
        <v/>
      </c>
      <c r="H154" s="4"/>
    </row>
    <row r="155" customFormat="false" ht="15" hidden="false" customHeight="false" outlineLevel="0" collapsed="false">
      <c r="A155" s="20"/>
      <c r="B155" s="4"/>
      <c r="C155" s="21"/>
      <c r="D155" s="22"/>
      <c r="E155" s="23" t="str">
        <f aca="false">IF(OR($C155="",$D155=""),"",$D155/$C155)</f>
        <v/>
      </c>
      <c r="F155" s="24" t="str">
        <f aca="false">IF($C155="","",SUM($C$2:$C155))</f>
        <v/>
      </c>
      <c r="G155" s="25" t="str">
        <f aca="false">IF($D155="","",SUM($D$2:$D155))</f>
        <v/>
      </c>
      <c r="H155" s="4"/>
    </row>
    <row r="156" customFormat="false" ht="15" hidden="false" customHeight="false" outlineLevel="0" collapsed="false">
      <c r="A156" s="20"/>
      <c r="B156" s="4"/>
      <c r="C156" s="21"/>
      <c r="D156" s="22"/>
      <c r="E156" s="23" t="str">
        <f aca="false">IF(OR($C156="",$D156=""),"",$D156/$C156)</f>
        <v/>
      </c>
      <c r="F156" s="24" t="str">
        <f aca="false">IF($C156="","",SUM($C$2:$C156))</f>
        <v/>
      </c>
      <c r="G156" s="25" t="str">
        <f aca="false">IF($D156="","",SUM($D$2:$D156))</f>
        <v/>
      </c>
      <c r="H156" s="4"/>
    </row>
    <row r="157" customFormat="false" ht="15" hidden="false" customHeight="false" outlineLevel="0" collapsed="false">
      <c r="A157" s="20"/>
      <c r="B157" s="4"/>
      <c r="C157" s="21"/>
      <c r="D157" s="22"/>
      <c r="E157" s="23" t="str">
        <f aca="false">IF(OR($C157="",$D157=""),"",$D157/$C157)</f>
        <v/>
      </c>
      <c r="F157" s="24" t="str">
        <f aca="false">IF($C157="","",SUM($C$2:$C157))</f>
        <v/>
      </c>
      <c r="G157" s="25" t="str">
        <f aca="false">IF($D157="","",SUM($D$2:$D157))</f>
        <v/>
      </c>
      <c r="H157" s="4"/>
    </row>
    <row r="158" customFormat="false" ht="15" hidden="false" customHeight="false" outlineLevel="0" collapsed="false">
      <c r="A158" s="20"/>
      <c r="B158" s="4"/>
      <c r="C158" s="21"/>
      <c r="D158" s="22"/>
      <c r="E158" s="23" t="str">
        <f aca="false">IF(OR($C158="",$D158=""),"",$D158/$C158)</f>
        <v/>
      </c>
      <c r="F158" s="24" t="str">
        <f aca="false">IF($C158="","",SUM($C$2:$C158))</f>
        <v/>
      </c>
      <c r="G158" s="25" t="str">
        <f aca="false">IF($D158="","",SUM($D$2:$D158))</f>
        <v/>
      </c>
      <c r="H158" s="4"/>
    </row>
    <row r="159" customFormat="false" ht="15" hidden="false" customHeight="false" outlineLevel="0" collapsed="false">
      <c r="A159" s="20"/>
      <c r="B159" s="4"/>
      <c r="C159" s="21"/>
      <c r="D159" s="22"/>
      <c r="E159" s="23" t="str">
        <f aca="false">IF(OR($C159="",$D159=""),"",$D159/$C159)</f>
        <v/>
      </c>
      <c r="F159" s="24" t="str">
        <f aca="false">IF($C159="","",SUM($C$2:$C159))</f>
        <v/>
      </c>
      <c r="G159" s="25" t="str">
        <f aca="false">IF($D159="","",SUM($D$2:$D159))</f>
        <v/>
      </c>
      <c r="H159" s="4"/>
    </row>
    <row r="160" customFormat="false" ht="15" hidden="false" customHeight="false" outlineLevel="0" collapsed="false">
      <c r="A160" s="20"/>
      <c r="B160" s="4"/>
      <c r="C160" s="21"/>
      <c r="D160" s="22"/>
      <c r="E160" s="23" t="str">
        <f aca="false">IF(OR($C160="",$D160=""),"",$D160/$C160)</f>
        <v/>
      </c>
      <c r="F160" s="24" t="str">
        <f aca="false">IF($C160="","",SUM($C$2:$C160))</f>
        <v/>
      </c>
      <c r="G160" s="25" t="str">
        <f aca="false">IF($D160="","",SUM($D$2:$D160))</f>
        <v/>
      </c>
      <c r="H160" s="4"/>
    </row>
    <row r="161" customFormat="false" ht="15" hidden="false" customHeight="false" outlineLevel="0" collapsed="false">
      <c r="A161" s="20"/>
      <c r="B161" s="4"/>
      <c r="C161" s="21"/>
      <c r="D161" s="22"/>
      <c r="E161" s="23" t="str">
        <f aca="false">IF(OR($C161="",$D161=""),"",$D161/$C161)</f>
        <v/>
      </c>
      <c r="F161" s="24" t="str">
        <f aca="false">IF($C161="","",SUM($C$2:$C161))</f>
        <v/>
      </c>
      <c r="G161" s="25" t="str">
        <f aca="false">IF($D161="","",SUM($D$2:$D161))</f>
        <v/>
      </c>
      <c r="H161" s="4"/>
    </row>
    <row r="162" customFormat="false" ht="15" hidden="false" customHeight="false" outlineLevel="0" collapsed="false">
      <c r="A162" s="20"/>
      <c r="B162" s="4"/>
      <c r="C162" s="21"/>
      <c r="D162" s="22"/>
      <c r="E162" s="23" t="str">
        <f aca="false">IF(OR($C162="",$D162=""),"",$D162/$C162)</f>
        <v/>
      </c>
      <c r="F162" s="24" t="str">
        <f aca="false">IF($C162="","",SUM($C$2:$C162))</f>
        <v/>
      </c>
      <c r="G162" s="25" t="str">
        <f aca="false">IF($D162="","",SUM($D$2:$D162))</f>
        <v/>
      </c>
      <c r="H162" s="4"/>
    </row>
    <row r="163" customFormat="false" ht="15" hidden="false" customHeight="false" outlineLevel="0" collapsed="false">
      <c r="A163" s="20"/>
      <c r="B163" s="4"/>
      <c r="C163" s="21"/>
      <c r="D163" s="22"/>
      <c r="E163" s="23" t="str">
        <f aca="false">IF(OR($C163="",$D163=""),"",$D163/$C163)</f>
        <v/>
      </c>
      <c r="F163" s="24" t="str">
        <f aca="false">IF($C163="","",SUM($C$2:$C163))</f>
        <v/>
      </c>
      <c r="G163" s="25" t="str">
        <f aca="false">IF($D163="","",SUM($D$2:$D163))</f>
        <v/>
      </c>
      <c r="H163" s="4"/>
    </row>
    <row r="164" customFormat="false" ht="15" hidden="false" customHeight="false" outlineLevel="0" collapsed="false">
      <c r="A164" s="20"/>
      <c r="B164" s="4"/>
      <c r="C164" s="21"/>
      <c r="D164" s="22"/>
      <c r="E164" s="23" t="str">
        <f aca="false">IF(OR($C164="",$D164=""),"",$D164/$C164)</f>
        <v/>
      </c>
      <c r="F164" s="24" t="str">
        <f aca="false">IF($C164="","",SUM($C$2:$C164))</f>
        <v/>
      </c>
      <c r="G164" s="25" t="str">
        <f aca="false">IF($D164="","",SUM($D$2:$D164))</f>
        <v/>
      </c>
      <c r="H164" s="4"/>
    </row>
    <row r="165" customFormat="false" ht="15" hidden="false" customHeight="false" outlineLevel="0" collapsed="false">
      <c r="A165" s="20"/>
      <c r="B165" s="4"/>
      <c r="C165" s="21"/>
      <c r="D165" s="22"/>
      <c r="E165" s="23" t="str">
        <f aca="false">IF(OR($C165="",$D165=""),"",$D165/$C165)</f>
        <v/>
      </c>
      <c r="F165" s="24" t="str">
        <f aca="false">IF($C165="","",SUM($C$2:$C165))</f>
        <v/>
      </c>
      <c r="G165" s="25" t="str">
        <f aca="false">IF($D165="","",SUM($D$2:$D165))</f>
        <v/>
      </c>
      <c r="H165" s="4"/>
    </row>
    <row r="166" customFormat="false" ht="15" hidden="false" customHeight="false" outlineLevel="0" collapsed="false">
      <c r="A166" s="20"/>
      <c r="B166" s="4"/>
      <c r="C166" s="21"/>
      <c r="D166" s="22"/>
      <c r="E166" s="23" t="str">
        <f aca="false">IF(OR($C166="",$D166=""),"",$D166/$C166)</f>
        <v/>
      </c>
      <c r="F166" s="24" t="str">
        <f aca="false">IF($C166="","",SUM($C$2:$C166))</f>
        <v/>
      </c>
      <c r="G166" s="25" t="str">
        <f aca="false">IF($D166="","",SUM($D$2:$D166))</f>
        <v/>
      </c>
      <c r="H166" s="4"/>
    </row>
    <row r="167" customFormat="false" ht="15" hidden="false" customHeight="false" outlineLevel="0" collapsed="false">
      <c r="A167" s="20"/>
      <c r="B167" s="4"/>
      <c r="C167" s="21"/>
      <c r="D167" s="22"/>
      <c r="E167" s="23" t="str">
        <f aca="false">IF(OR($C167="",$D167=""),"",$D167/$C167)</f>
        <v/>
      </c>
      <c r="F167" s="24" t="str">
        <f aca="false">IF($C167="","",SUM($C$2:$C167))</f>
        <v/>
      </c>
      <c r="G167" s="25" t="str">
        <f aca="false">IF($D167="","",SUM($D$2:$D167))</f>
        <v/>
      </c>
      <c r="H167" s="4"/>
    </row>
    <row r="168" customFormat="false" ht="15" hidden="false" customHeight="false" outlineLevel="0" collapsed="false">
      <c r="A168" s="20"/>
      <c r="B168" s="4"/>
      <c r="C168" s="21"/>
      <c r="D168" s="22"/>
      <c r="E168" s="23" t="str">
        <f aca="false">IF(OR($C168="",$D168=""),"",$D168/$C168)</f>
        <v/>
      </c>
      <c r="F168" s="24" t="str">
        <f aca="false">IF($C168="","",SUM($C$2:$C168))</f>
        <v/>
      </c>
      <c r="G168" s="25" t="str">
        <f aca="false">IF($D168="","",SUM($D$2:$D168))</f>
        <v/>
      </c>
      <c r="H168" s="4"/>
    </row>
    <row r="169" customFormat="false" ht="15" hidden="false" customHeight="false" outlineLevel="0" collapsed="false">
      <c r="A169" s="20"/>
      <c r="B169" s="4"/>
      <c r="C169" s="21"/>
      <c r="D169" s="22"/>
      <c r="E169" s="23" t="str">
        <f aca="false">IF(OR($C169="",$D169=""),"",$D169/$C169)</f>
        <v/>
      </c>
      <c r="F169" s="24" t="str">
        <f aca="false">IF($C169="","",SUM($C$2:$C169))</f>
        <v/>
      </c>
      <c r="G169" s="25" t="str">
        <f aca="false">IF($D169="","",SUM($D$2:$D169))</f>
        <v/>
      </c>
      <c r="H169" s="4"/>
    </row>
    <row r="170" customFormat="false" ht="15" hidden="false" customHeight="false" outlineLevel="0" collapsed="false">
      <c r="A170" s="20"/>
      <c r="B170" s="4"/>
      <c r="C170" s="21"/>
      <c r="D170" s="22"/>
      <c r="E170" s="23" t="str">
        <f aca="false">IF(OR($C170="",$D170=""),"",$D170/$C170)</f>
        <v/>
      </c>
      <c r="F170" s="24" t="str">
        <f aca="false">IF($C170="","",SUM($C$2:$C170))</f>
        <v/>
      </c>
      <c r="G170" s="25" t="str">
        <f aca="false">IF($D170="","",SUM($D$2:$D170))</f>
        <v/>
      </c>
      <c r="H170" s="4"/>
    </row>
    <row r="171" customFormat="false" ht="15" hidden="false" customHeight="false" outlineLevel="0" collapsed="false">
      <c r="A171" s="20"/>
      <c r="B171" s="4"/>
      <c r="C171" s="21"/>
      <c r="D171" s="22"/>
      <c r="E171" s="23" t="str">
        <f aca="false">IF(OR($C171="",$D171=""),"",$D171/$C171)</f>
        <v/>
      </c>
      <c r="F171" s="24" t="str">
        <f aca="false">IF($C171="","",SUM($C$2:$C171))</f>
        <v/>
      </c>
      <c r="G171" s="25" t="str">
        <f aca="false">IF($D171="","",SUM($D$2:$D171))</f>
        <v/>
      </c>
      <c r="H171" s="4"/>
    </row>
    <row r="172" customFormat="false" ht="15" hidden="false" customHeight="false" outlineLevel="0" collapsed="false">
      <c r="A172" s="20"/>
      <c r="B172" s="4"/>
      <c r="C172" s="21"/>
      <c r="D172" s="22"/>
      <c r="E172" s="23" t="str">
        <f aca="false">IF(OR($C172="",$D172=""),"",$D172/$C172)</f>
        <v/>
      </c>
      <c r="F172" s="24" t="str">
        <f aca="false">IF($C172="","",SUM($C$2:$C172))</f>
        <v/>
      </c>
      <c r="G172" s="25" t="str">
        <f aca="false">IF($D172="","",SUM($D$2:$D172))</f>
        <v/>
      </c>
      <c r="H172" s="4"/>
    </row>
    <row r="173" customFormat="false" ht="15" hidden="false" customHeight="false" outlineLevel="0" collapsed="false">
      <c r="A173" s="20"/>
      <c r="B173" s="4"/>
      <c r="C173" s="21"/>
      <c r="D173" s="22"/>
      <c r="E173" s="23" t="str">
        <f aca="false">IF(OR($C173="",$D173=""),"",$D173/$C173)</f>
        <v/>
      </c>
      <c r="F173" s="24" t="str">
        <f aca="false">IF($C173="","",SUM($C$2:$C173))</f>
        <v/>
      </c>
      <c r="G173" s="25" t="str">
        <f aca="false">IF($D173="","",SUM($D$2:$D173))</f>
        <v/>
      </c>
      <c r="H173" s="4"/>
    </row>
    <row r="174" customFormat="false" ht="15" hidden="false" customHeight="false" outlineLevel="0" collapsed="false">
      <c r="A174" s="20"/>
      <c r="B174" s="4"/>
      <c r="C174" s="21"/>
      <c r="D174" s="22"/>
      <c r="E174" s="23" t="str">
        <f aca="false">IF(OR($C174="",$D174=""),"",$D174/$C174)</f>
        <v/>
      </c>
      <c r="F174" s="24" t="str">
        <f aca="false">IF($C174="","",SUM($C$2:$C174))</f>
        <v/>
      </c>
      <c r="G174" s="25" t="str">
        <f aca="false">IF($D174="","",SUM($D$2:$D174))</f>
        <v/>
      </c>
      <c r="H174" s="4"/>
    </row>
    <row r="175" customFormat="false" ht="15" hidden="false" customHeight="false" outlineLevel="0" collapsed="false">
      <c r="A175" s="20"/>
      <c r="B175" s="4"/>
      <c r="C175" s="21"/>
      <c r="D175" s="22"/>
      <c r="E175" s="23" t="str">
        <f aca="false">IF(OR($C175="",$D175=""),"",$D175/$C175)</f>
        <v/>
      </c>
      <c r="F175" s="24" t="str">
        <f aca="false">IF($C175="","",SUM($C$2:$C175))</f>
        <v/>
      </c>
      <c r="G175" s="25" t="str">
        <f aca="false">IF($D175="","",SUM($D$2:$D175))</f>
        <v/>
      </c>
      <c r="H175" s="4"/>
    </row>
    <row r="176" customFormat="false" ht="15" hidden="false" customHeight="false" outlineLevel="0" collapsed="false">
      <c r="A176" s="20"/>
      <c r="B176" s="4"/>
      <c r="C176" s="21"/>
      <c r="D176" s="22"/>
      <c r="E176" s="23" t="str">
        <f aca="false">IF(OR($C176="",$D176=""),"",$D176/$C176)</f>
        <v/>
      </c>
      <c r="F176" s="24" t="str">
        <f aca="false">IF($C176="","",SUM($C$2:$C176))</f>
        <v/>
      </c>
      <c r="G176" s="25" t="str">
        <f aca="false">IF($D176="","",SUM($D$2:$D176))</f>
        <v/>
      </c>
      <c r="H176" s="4"/>
    </row>
    <row r="177" customFormat="false" ht="15" hidden="false" customHeight="false" outlineLevel="0" collapsed="false">
      <c r="A177" s="20"/>
      <c r="B177" s="4"/>
      <c r="C177" s="21"/>
      <c r="D177" s="22"/>
      <c r="E177" s="23" t="str">
        <f aca="false">IF(OR($C177="",$D177=""),"",$D177/$C177)</f>
        <v/>
      </c>
      <c r="F177" s="24" t="str">
        <f aca="false">IF($C177="","",SUM($C$2:$C177))</f>
        <v/>
      </c>
      <c r="G177" s="25" t="str">
        <f aca="false">IF($D177="","",SUM($D$2:$D177))</f>
        <v/>
      </c>
      <c r="H177" s="4"/>
    </row>
    <row r="178" customFormat="false" ht="15" hidden="false" customHeight="false" outlineLevel="0" collapsed="false">
      <c r="A178" s="20"/>
      <c r="B178" s="4"/>
      <c r="C178" s="21"/>
      <c r="D178" s="22"/>
      <c r="E178" s="23" t="str">
        <f aca="false">IF(OR($C178="",$D178=""),"",$D178/$C178)</f>
        <v/>
      </c>
      <c r="F178" s="24" t="str">
        <f aca="false">IF($C178="","",SUM($C$2:$C178))</f>
        <v/>
      </c>
      <c r="G178" s="25" t="str">
        <f aca="false">IF($D178="","",SUM($D$2:$D178))</f>
        <v/>
      </c>
      <c r="H178" s="4"/>
    </row>
    <row r="179" customFormat="false" ht="15" hidden="false" customHeight="false" outlineLevel="0" collapsed="false">
      <c r="A179" s="20"/>
      <c r="B179" s="4"/>
      <c r="C179" s="21"/>
      <c r="D179" s="22"/>
      <c r="E179" s="23" t="str">
        <f aca="false">IF(OR($C179="",$D179=""),"",$D179/$C179)</f>
        <v/>
      </c>
      <c r="F179" s="24" t="str">
        <f aca="false">IF($C179="","",SUM($C$2:$C179))</f>
        <v/>
      </c>
      <c r="G179" s="25" t="str">
        <f aca="false">IF($D179="","",SUM($D$2:$D179))</f>
        <v/>
      </c>
      <c r="H179" s="4"/>
    </row>
    <row r="180" customFormat="false" ht="15" hidden="false" customHeight="false" outlineLevel="0" collapsed="false">
      <c r="A180" s="20"/>
      <c r="B180" s="4"/>
      <c r="C180" s="21"/>
      <c r="D180" s="22"/>
      <c r="E180" s="23" t="str">
        <f aca="false">IF(OR($C180="",$D180=""),"",$D180/$C180)</f>
        <v/>
      </c>
      <c r="F180" s="24" t="str">
        <f aca="false">IF($C180="","",SUM($C$2:$C180))</f>
        <v/>
      </c>
      <c r="G180" s="25" t="str">
        <f aca="false">IF($D180="","",SUM($D$2:$D180))</f>
        <v/>
      </c>
      <c r="H180" s="4"/>
    </row>
    <row r="181" customFormat="false" ht="15" hidden="false" customHeight="false" outlineLevel="0" collapsed="false">
      <c r="A181" s="20"/>
      <c r="B181" s="4"/>
      <c r="C181" s="21"/>
      <c r="D181" s="22"/>
      <c r="E181" s="23" t="str">
        <f aca="false">IF(OR($C181="",$D181=""),"",$D181/$C181)</f>
        <v/>
      </c>
      <c r="F181" s="24" t="str">
        <f aca="false">IF($C181="","",SUM($C$2:$C181))</f>
        <v/>
      </c>
      <c r="G181" s="25" t="str">
        <f aca="false">IF($D181="","",SUM($D$2:$D181))</f>
        <v/>
      </c>
      <c r="H181" s="4"/>
    </row>
    <row r="182" customFormat="false" ht="15" hidden="false" customHeight="false" outlineLevel="0" collapsed="false">
      <c r="A182" s="20"/>
      <c r="B182" s="4"/>
      <c r="C182" s="21"/>
      <c r="D182" s="22"/>
      <c r="E182" s="23" t="str">
        <f aca="false">IF(OR($C182="",$D182=""),"",$D182/$C182)</f>
        <v/>
      </c>
      <c r="F182" s="24" t="str">
        <f aca="false">IF($C182="","",SUM($C$2:$C182))</f>
        <v/>
      </c>
      <c r="G182" s="25" t="str">
        <f aca="false">IF($D182="","",SUM($D$2:$D182))</f>
        <v/>
      </c>
      <c r="H182" s="4"/>
    </row>
    <row r="183" customFormat="false" ht="15" hidden="false" customHeight="false" outlineLevel="0" collapsed="false">
      <c r="A183" s="20"/>
      <c r="B183" s="4"/>
      <c r="C183" s="21"/>
      <c r="D183" s="22"/>
      <c r="E183" s="23" t="str">
        <f aca="false">IF(OR($C183="",$D183=""),"",$D183/$C183)</f>
        <v/>
      </c>
      <c r="F183" s="24" t="str">
        <f aca="false">IF($C183="","",SUM($C$2:$C183))</f>
        <v/>
      </c>
      <c r="G183" s="25" t="str">
        <f aca="false">IF($D183="","",SUM($D$2:$D183))</f>
        <v/>
      </c>
      <c r="H183" s="4"/>
    </row>
    <row r="184" customFormat="false" ht="15" hidden="false" customHeight="false" outlineLevel="0" collapsed="false">
      <c r="A184" s="20"/>
      <c r="B184" s="4"/>
      <c r="C184" s="21"/>
      <c r="D184" s="22"/>
      <c r="E184" s="23" t="str">
        <f aca="false">IF(OR($C184="",$D184=""),"",$D184/$C184)</f>
        <v/>
      </c>
      <c r="F184" s="24" t="str">
        <f aca="false">IF($C184="","",SUM($C$2:$C184))</f>
        <v/>
      </c>
      <c r="G184" s="25" t="str">
        <f aca="false">IF($D184="","",SUM($D$2:$D184))</f>
        <v/>
      </c>
      <c r="H184" s="4"/>
    </row>
    <row r="185" customFormat="false" ht="15" hidden="false" customHeight="false" outlineLevel="0" collapsed="false">
      <c r="A185" s="20"/>
      <c r="B185" s="4"/>
      <c r="C185" s="21"/>
      <c r="D185" s="22"/>
      <c r="E185" s="23" t="str">
        <f aca="false">IF(OR($C185="",$D185=""),"",$D185/$C185)</f>
        <v/>
      </c>
      <c r="F185" s="24" t="str">
        <f aca="false">IF($C185="","",SUM($C$2:$C185))</f>
        <v/>
      </c>
      <c r="G185" s="25" t="str">
        <f aca="false">IF($D185="","",SUM($D$2:$D185))</f>
        <v/>
      </c>
      <c r="H185" s="4"/>
    </row>
    <row r="186" customFormat="false" ht="15" hidden="false" customHeight="false" outlineLevel="0" collapsed="false">
      <c r="A186" s="20"/>
      <c r="B186" s="4"/>
      <c r="C186" s="21"/>
      <c r="D186" s="22"/>
      <c r="E186" s="23" t="str">
        <f aca="false">IF(OR($C186="",$D186=""),"",$D186/$C186)</f>
        <v/>
      </c>
      <c r="F186" s="24" t="str">
        <f aca="false">IF($C186="","",SUM($C$2:$C186))</f>
        <v/>
      </c>
      <c r="G186" s="25" t="str">
        <f aca="false">IF($D186="","",SUM($D$2:$D186))</f>
        <v/>
      </c>
      <c r="H186" s="4"/>
    </row>
    <row r="187" customFormat="false" ht="15" hidden="false" customHeight="false" outlineLevel="0" collapsed="false">
      <c r="A187" s="20"/>
      <c r="B187" s="4"/>
      <c r="C187" s="21"/>
      <c r="D187" s="22"/>
      <c r="E187" s="23" t="str">
        <f aca="false">IF(OR($C187="",$D187=""),"",$D187/$C187)</f>
        <v/>
      </c>
      <c r="F187" s="24" t="str">
        <f aca="false">IF($C187="","",SUM($C$2:$C187))</f>
        <v/>
      </c>
      <c r="G187" s="25" t="str">
        <f aca="false">IF($D187="","",SUM($D$2:$D187))</f>
        <v/>
      </c>
      <c r="H187" s="4"/>
    </row>
    <row r="188" customFormat="false" ht="15" hidden="false" customHeight="false" outlineLevel="0" collapsed="false">
      <c r="A188" s="20"/>
      <c r="B188" s="4"/>
      <c r="C188" s="21"/>
      <c r="D188" s="22"/>
      <c r="E188" s="23" t="str">
        <f aca="false">IF(OR($C188="",$D188=""),"",$D188/$C188)</f>
        <v/>
      </c>
      <c r="F188" s="24" t="str">
        <f aca="false">IF($C188="","",SUM($C$2:$C188))</f>
        <v/>
      </c>
      <c r="G188" s="25" t="str">
        <f aca="false">IF($D188="","",SUM($D$2:$D188))</f>
        <v/>
      </c>
      <c r="H188" s="4"/>
    </row>
    <row r="189" customFormat="false" ht="15" hidden="false" customHeight="false" outlineLevel="0" collapsed="false">
      <c r="A189" s="20"/>
      <c r="B189" s="4"/>
      <c r="C189" s="21"/>
      <c r="D189" s="22"/>
      <c r="E189" s="23" t="str">
        <f aca="false">IF(OR($C189="",$D189=""),"",$D189/$C189)</f>
        <v/>
      </c>
      <c r="F189" s="24" t="str">
        <f aca="false">IF($C189="","",SUM($C$2:$C189))</f>
        <v/>
      </c>
      <c r="G189" s="25" t="str">
        <f aca="false">IF($D189="","",SUM($D$2:$D189))</f>
        <v/>
      </c>
      <c r="H189" s="4"/>
    </row>
    <row r="190" customFormat="false" ht="15" hidden="false" customHeight="false" outlineLevel="0" collapsed="false">
      <c r="A190" s="20"/>
      <c r="B190" s="4"/>
      <c r="C190" s="21"/>
      <c r="D190" s="22"/>
      <c r="E190" s="23" t="str">
        <f aca="false">IF(OR($C190="",$D190=""),"",$D190/$C190)</f>
        <v/>
      </c>
      <c r="F190" s="24" t="str">
        <f aca="false">IF($C190="","",SUM($C$2:$C190))</f>
        <v/>
      </c>
      <c r="G190" s="25" t="str">
        <f aca="false">IF($D190="","",SUM($D$2:$D190))</f>
        <v/>
      </c>
      <c r="H190" s="4"/>
    </row>
    <row r="191" customFormat="false" ht="15" hidden="false" customHeight="false" outlineLevel="0" collapsed="false">
      <c r="A191" s="20"/>
      <c r="B191" s="4"/>
      <c r="C191" s="21"/>
      <c r="D191" s="22"/>
      <c r="E191" s="23" t="str">
        <f aca="false">IF(OR($C191="",$D191=""),"",$D191/$C191)</f>
        <v/>
      </c>
      <c r="F191" s="24" t="str">
        <f aca="false">IF($C191="","",SUM($C$2:$C191))</f>
        <v/>
      </c>
      <c r="G191" s="25" t="str">
        <f aca="false">IF($D191="","",SUM($D$2:$D191))</f>
        <v/>
      </c>
      <c r="H191" s="4"/>
    </row>
    <row r="192" customFormat="false" ht="15" hidden="false" customHeight="false" outlineLevel="0" collapsed="false">
      <c r="A192" s="20"/>
      <c r="B192" s="4"/>
      <c r="C192" s="21"/>
      <c r="D192" s="22"/>
      <c r="E192" s="23" t="str">
        <f aca="false">IF(OR($C192="",$D192=""),"",$D192/$C192)</f>
        <v/>
      </c>
      <c r="F192" s="24" t="str">
        <f aca="false">IF($C192="","",SUM($C$2:$C192))</f>
        <v/>
      </c>
      <c r="G192" s="25" t="str">
        <f aca="false">IF($D192="","",SUM($D$2:$D192))</f>
        <v/>
      </c>
      <c r="H192" s="4"/>
    </row>
    <row r="193" customFormat="false" ht="15" hidden="false" customHeight="false" outlineLevel="0" collapsed="false">
      <c r="A193" s="20"/>
      <c r="B193" s="4"/>
      <c r="C193" s="21"/>
      <c r="D193" s="22"/>
      <c r="E193" s="23" t="str">
        <f aca="false">IF(OR($C193="",$D193=""),"",$D193/$C193)</f>
        <v/>
      </c>
      <c r="F193" s="24" t="str">
        <f aca="false">IF($C193="","",SUM($C$2:$C193))</f>
        <v/>
      </c>
      <c r="G193" s="25" t="str">
        <f aca="false">IF($D193="","",SUM($D$2:$D193))</f>
        <v/>
      </c>
      <c r="H193" s="4"/>
    </row>
    <row r="194" customFormat="false" ht="15" hidden="false" customHeight="false" outlineLevel="0" collapsed="false">
      <c r="A194" s="20"/>
      <c r="B194" s="4"/>
      <c r="C194" s="21"/>
      <c r="D194" s="22"/>
      <c r="E194" s="23" t="str">
        <f aca="false">IF(OR($C194="",$D194=""),"",$D194/$C194)</f>
        <v/>
      </c>
      <c r="F194" s="24" t="str">
        <f aca="false">IF($C194="","",SUM($C$2:$C194))</f>
        <v/>
      </c>
      <c r="G194" s="25" t="str">
        <f aca="false">IF($D194="","",SUM($D$2:$D194))</f>
        <v/>
      </c>
      <c r="H194" s="4"/>
    </row>
    <row r="195" customFormat="false" ht="15" hidden="false" customHeight="false" outlineLevel="0" collapsed="false">
      <c r="A195" s="20"/>
      <c r="B195" s="4"/>
      <c r="C195" s="21"/>
      <c r="D195" s="22"/>
      <c r="E195" s="23" t="str">
        <f aca="false">IF(OR($C195="",$D195=""),"",$D195/$C195)</f>
        <v/>
      </c>
      <c r="F195" s="24" t="str">
        <f aca="false">IF($C195="","",SUM($C$2:$C195))</f>
        <v/>
      </c>
      <c r="G195" s="25" t="str">
        <f aca="false">IF($D195="","",SUM($D$2:$D195))</f>
        <v/>
      </c>
      <c r="H195" s="4"/>
    </row>
    <row r="196" customFormat="false" ht="15" hidden="false" customHeight="false" outlineLevel="0" collapsed="false">
      <c r="A196" s="20"/>
      <c r="B196" s="4"/>
      <c r="C196" s="21"/>
      <c r="D196" s="22"/>
      <c r="E196" s="23" t="str">
        <f aca="false">IF(OR($C196="",$D196=""),"",$D196/$C196)</f>
        <v/>
      </c>
      <c r="F196" s="24" t="str">
        <f aca="false">IF($C196="","",SUM($C$2:$C196))</f>
        <v/>
      </c>
      <c r="G196" s="25" t="str">
        <f aca="false">IF($D196="","",SUM($D$2:$D196))</f>
        <v/>
      </c>
      <c r="H196" s="4"/>
    </row>
    <row r="197" customFormat="false" ht="15" hidden="false" customHeight="false" outlineLevel="0" collapsed="false">
      <c r="A197" s="20"/>
      <c r="B197" s="4"/>
      <c r="C197" s="21"/>
      <c r="D197" s="22"/>
      <c r="E197" s="23" t="str">
        <f aca="false">IF(OR($C197="",$D197=""),"",$D197/$C197)</f>
        <v/>
      </c>
      <c r="F197" s="24" t="str">
        <f aca="false">IF($C197="","",SUM($C$2:$C197))</f>
        <v/>
      </c>
      <c r="G197" s="25" t="str">
        <f aca="false">IF($D197="","",SUM($D$2:$D197))</f>
        <v/>
      </c>
      <c r="H197" s="4"/>
    </row>
    <row r="198" customFormat="false" ht="15" hidden="false" customHeight="false" outlineLevel="0" collapsed="false">
      <c r="A198" s="20"/>
      <c r="B198" s="4"/>
      <c r="C198" s="21"/>
      <c r="D198" s="22"/>
      <c r="E198" s="23" t="str">
        <f aca="false">IF(OR($C198="",$D198=""),"",$D198/$C198)</f>
        <v/>
      </c>
      <c r="F198" s="24" t="str">
        <f aca="false">IF($C198="","",SUM($C$2:$C198))</f>
        <v/>
      </c>
      <c r="G198" s="25" t="str">
        <f aca="false">IF($D198="","",SUM($D$2:$D198))</f>
        <v/>
      </c>
      <c r="H198" s="4"/>
    </row>
    <row r="199" customFormat="false" ht="15" hidden="false" customHeight="false" outlineLevel="0" collapsed="false">
      <c r="A199" s="20"/>
      <c r="B199" s="4"/>
      <c r="C199" s="21"/>
      <c r="D199" s="22"/>
      <c r="E199" s="23" t="str">
        <f aca="false">IF(OR($C199="",$D199=""),"",$D199/$C199)</f>
        <v/>
      </c>
      <c r="F199" s="24" t="str">
        <f aca="false">IF($C199="","",SUM($C$2:$C199))</f>
        <v/>
      </c>
      <c r="G199" s="25" t="str">
        <f aca="false">IF($D199="","",SUM($D$2:$D199))</f>
        <v/>
      </c>
      <c r="H199" s="4"/>
    </row>
    <row r="200" customFormat="false" ht="15" hidden="false" customHeight="false" outlineLevel="0" collapsed="false">
      <c r="A200" s="20"/>
      <c r="B200" s="4"/>
      <c r="C200" s="21"/>
      <c r="D200" s="22"/>
      <c r="E200" s="23" t="str">
        <f aca="false">IF(OR($C200="",$D200=""),"",$D200/$C200)</f>
        <v/>
      </c>
      <c r="F200" s="24" t="str">
        <f aca="false">IF($C200="","",SUM($C$2:$C200))</f>
        <v/>
      </c>
      <c r="G200" s="25" t="str">
        <f aca="false">IF($D200="","",SUM($D$2:$D200))</f>
        <v/>
      </c>
      <c r="H200" s="4"/>
    </row>
    <row r="201" customFormat="false" ht="15" hidden="false" customHeight="false" outlineLevel="0" collapsed="false">
      <c r="A201" s="20"/>
      <c r="B201" s="4"/>
      <c r="C201" s="21"/>
      <c r="D201" s="22"/>
      <c r="E201" s="23" t="str">
        <f aca="false">IF(OR($C201="",$D201=""),"",$D201/$C201)</f>
        <v/>
      </c>
      <c r="F201" s="24" t="str">
        <f aca="false">IF($C201="","",SUM($C$2:$C201))</f>
        <v/>
      </c>
      <c r="G201" s="25" t="str">
        <f aca="false">IF($D201="","",SUM($D$2:$D201))</f>
        <v/>
      </c>
      <c r="H201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0"/>
  </cols>
  <sheetData>
    <row r="1" customFormat="false" ht="25.5" hidden="false" customHeight="true" outlineLevel="0" collapsed="false">
      <c r="B1" s="26" t="s">
        <v>38</v>
      </c>
    </row>
    <row r="2" customFormat="false" ht="15" hidden="false" customHeight="false" outlineLevel="0" collapsed="false">
      <c r="B2" s="27"/>
    </row>
    <row r="3" customFormat="false" ht="15" hidden="false" customHeight="false" outlineLevel="0" collapsed="false">
      <c r="B3" s="28" t="s">
        <v>39</v>
      </c>
    </row>
    <row r="4" customFormat="false" ht="15" hidden="false" customHeight="false" outlineLevel="0" collapsed="false">
      <c r="B4" s="27" t="s">
        <v>40</v>
      </c>
    </row>
    <row r="5" customFormat="false" ht="15" hidden="false" customHeight="false" outlineLevel="0" collapsed="false">
      <c r="B5" s="27" t="s">
        <v>41</v>
      </c>
    </row>
    <row r="6" customFormat="false" ht="15" hidden="false" customHeight="false" outlineLevel="0" collapsed="false">
      <c r="B6" s="27" t="s">
        <v>42</v>
      </c>
    </row>
    <row r="7" customFormat="false" ht="15" hidden="false" customHeight="false" outlineLevel="0" collapsed="false">
      <c r="B7" s="27"/>
    </row>
    <row r="8" customFormat="false" ht="15" hidden="false" customHeight="false" outlineLevel="0" collapsed="false">
      <c r="B8" s="28" t="s">
        <v>43</v>
      </c>
    </row>
    <row r="9" customFormat="false" ht="15" hidden="false" customHeight="false" outlineLevel="0" collapsed="false">
      <c r="B9" s="27" t="s">
        <v>44</v>
      </c>
    </row>
    <row r="10" customFormat="false" ht="15" hidden="false" customHeight="false" outlineLevel="0" collapsed="false">
      <c r="B10" s="27" t="s">
        <v>45</v>
      </c>
    </row>
    <row r="11" customFormat="false" ht="15" hidden="false" customHeight="false" outlineLevel="0" collapsed="false">
      <c r="B11" s="27" t="s">
        <v>46</v>
      </c>
    </row>
    <row r="12" customFormat="false" ht="15" hidden="false" customHeight="false" outlineLevel="0" collapsed="false">
      <c r="B12" s="27" t="s">
        <v>47</v>
      </c>
    </row>
    <row r="13" customFormat="false" ht="15" hidden="false" customHeight="false" outlineLevel="0" collapsed="false">
      <c r="B13" s="27" t="s">
        <v>48</v>
      </c>
    </row>
    <row r="14" customFormat="false" ht="15" hidden="false" customHeight="false" outlineLevel="0" collapsed="false">
      <c r="B14" s="27" t="s">
        <v>49</v>
      </c>
    </row>
    <row r="15" customFormat="false" ht="15" hidden="false" customHeight="false" outlineLevel="0" collapsed="false">
      <c r="B15" s="27" t="s">
        <v>50</v>
      </c>
    </row>
    <row r="16" customFormat="false" ht="15" hidden="false" customHeight="false" outlineLevel="0" collapsed="false">
      <c r="B16" s="27" t="s">
        <v>51</v>
      </c>
    </row>
    <row r="17" customFormat="false" ht="15" hidden="false" customHeight="false" outlineLevel="0" collapsed="false">
      <c r="B17" s="27"/>
    </row>
    <row r="18" customFormat="false" ht="15" hidden="false" customHeight="false" outlineLevel="0" collapsed="false">
      <c r="B18" s="28" t="s">
        <v>52</v>
      </c>
    </row>
    <row r="19" customFormat="false" ht="15" hidden="false" customHeight="false" outlineLevel="0" collapsed="false">
      <c r="B19" s="27" t="s">
        <v>53</v>
      </c>
    </row>
    <row r="20" customFormat="false" ht="15" hidden="false" customHeight="false" outlineLevel="0" collapsed="false">
      <c r="B20" s="27" t="s">
        <v>54</v>
      </c>
    </row>
    <row r="21" customFormat="false" ht="15" hidden="false" customHeight="false" outlineLevel="0" collapsed="false">
      <c r="B21" s="27"/>
    </row>
    <row r="22" customFormat="false" ht="15" hidden="false" customHeight="false" outlineLevel="0" collapsed="false">
      <c r="B22" s="28" t="s">
        <v>55</v>
      </c>
    </row>
    <row r="23" customFormat="false" ht="15" hidden="false" customHeight="false" outlineLevel="0" collapsed="false">
      <c r="B23" s="27" t="s">
        <v>56</v>
      </c>
    </row>
    <row r="24" customFormat="false" ht="15" hidden="false" customHeight="false" outlineLevel="0" collapsed="false">
      <c r="B24" s="27" t="s">
        <v>57</v>
      </c>
    </row>
    <row r="25" customFormat="false" ht="15" hidden="false" customHeight="false" outlineLevel="0" collapsed="false">
      <c r="B25" s="27" t="s">
        <v>58</v>
      </c>
    </row>
    <row r="26" customFormat="false" ht="15" hidden="false" customHeight="false" outlineLevel="0" collapsed="false">
      <c r="B26" s="27"/>
    </row>
    <row r="27" customFormat="false" ht="15" hidden="false" customHeight="false" outlineLevel="0" collapsed="false">
      <c r="B27" s="28" t="s">
        <v>59</v>
      </c>
    </row>
    <row r="28" customFormat="false" ht="15" hidden="false" customHeight="false" outlineLevel="0" collapsed="false">
      <c r="B28" s="27" t="s">
        <v>60</v>
      </c>
    </row>
    <row r="29" customFormat="false" ht="15" hidden="false" customHeight="false" outlineLevel="0" collapsed="false">
      <c r="B29" s="27" t="s">
        <v>61</v>
      </c>
    </row>
    <row r="30" customFormat="false" ht="15" hidden="false" customHeight="false" outlineLevel="0" collapsed="false">
      <c r="B30" s="27" t="s">
        <v>62</v>
      </c>
    </row>
    <row r="31" customFormat="false" ht="15" hidden="false" customHeight="false" outlineLevel="0" collapsed="false">
      <c r="B31" s="27"/>
    </row>
    <row r="32" customFormat="false" ht="15" hidden="false" customHeight="false" outlineLevel="0" collapsed="false">
      <c r="B32" s="28" t="s">
        <v>63</v>
      </c>
    </row>
    <row r="33" customFormat="false" ht="15" hidden="false" customHeight="false" outlineLevel="0" collapsed="false">
      <c r="B33" s="27" t="s">
        <v>64</v>
      </c>
    </row>
    <row r="34" customFormat="false" ht="15" hidden="false" customHeight="false" outlineLevel="0" collapsed="false">
      <c r="B34" s="27" t="s">
        <v>65</v>
      </c>
    </row>
    <row r="35" customFormat="false" ht="15" hidden="false" customHeight="false" outlineLevel="0" collapsed="false">
      <c r="B35" s="27" t="s">
        <v>66</v>
      </c>
    </row>
    <row r="36" customFormat="false" ht="15" hidden="false" customHeight="false" outlineLevel="0" collapsed="false">
      <c r="B36" s="27" t="s">
        <v>67</v>
      </c>
    </row>
    <row r="37" customFormat="false" ht="15" hidden="false" customHeight="false" outlineLevel="0" collapsed="false">
      <c r="B37" s="27" t="s">
        <v>68</v>
      </c>
    </row>
    <row r="38" customFormat="false" ht="15" hidden="false" customHeight="false" outlineLevel="0" collapsed="false">
      <c r="B38" s="27" t="s">
        <v>69</v>
      </c>
    </row>
    <row r="39" customFormat="false" ht="15" hidden="false" customHeight="false" outlineLevel="0" collapsed="false">
      <c r="B39" s="27"/>
    </row>
    <row r="40" customFormat="false" ht="15" hidden="false" customHeight="false" outlineLevel="0" collapsed="false">
      <c r="B40" s="28" t="s">
        <v>70</v>
      </c>
    </row>
    <row r="41" customFormat="false" ht="15" hidden="false" customHeight="false" outlineLevel="0" collapsed="false">
      <c r="B41" s="27" t="s">
        <v>71</v>
      </c>
    </row>
    <row r="42" customFormat="false" ht="15" hidden="false" customHeight="false" outlineLevel="0" collapsed="false">
      <c r="B42" s="27" t="s">
        <v>72</v>
      </c>
    </row>
    <row r="43" customFormat="false" ht="15" hidden="false" customHeight="false" outlineLevel="0" collapsed="false">
      <c r="B43" s="27" t="s">
        <v>73</v>
      </c>
    </row>
    <row r="44" customFormat="false" ht="15" hidden="false" customHeight="false" outlineLevel="0" collapsed="false">
      <c r="B44" s="27" t="s">
        <v>74</v>
      </c>
    </row>
    <row r="45" customFormat="false" ht="15" hidden="false" customHeight="false" outlineLevel="0" collapsed="false">
      <c r="B45" s="27" t="s">
        <v>75</v>
      </c>
    </row>
    <row r="46" customFormat="false" ht="15" hidden="false" customHeight="false" outlineLevel="0" collapsed="false">
      <c r="B46" s="27"/>
    </row>
    <row r="47" customFormat="false" ht="15" hidden="false" customHeight="false" outlineLevel="0" collapsed="false">
      <c r="B47" s="29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2026-07-07T07:01:21Z</dcterms:created>
  <dc:creator>openpyxl</dc:creator>
  <dc:description/>
  <dc:language>en-US</dc:language>
  <cp:lastModifiedBy/>
  <dcterms:modified xsi:type="dcterms:W3CDTF">2026-07-07T07:01:22Z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