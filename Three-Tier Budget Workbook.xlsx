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s 1 &amp; 2 budget" sheetId="1" state="visible" r:id="rId3"/>
    <sheet name="Tier 3 — Payoff cascade" sheetId="2" state="visible" r:id="rId4"/>
    <sheet name="Post-debt sav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<sst xmlns="http://schemas.openxmlformats.org/spreadsheetml/2006/main" count="161" uniqueCount="158">
  <si>
    <t xml:space="preserve">Three-tier budget</t>
  </si>
  <si>
    <t xml:space="preserve">Matches your live YNAB targets (monthly-equivalent). 🟩 Tier 1 = base wages cover it; 🟧 Tier 2 = part base, part trim/second income; 🟪 Tier 3 on the cascade sheet.</t>
  </si>
  <si>
    <t xml:space="preserve">Guaranteed monthly income (base wages)</t>
  </si>
  <si>
    <t xml:space="preserve">WHAT-IF — trim Tier 2 (edit blue “New”, set 0 to cut)</t>
  </si>
  <si>
    <t xml:space="preserve">Tier 1 costs</t>
  </si>
  <si>
    <t xml:space="preserve">Tier 2 beyond base</t>
  </si>
  <si>
    <t xml:space="preserve">Base wages left for Tier 2</t>
  </si>
  <si>
    <t xml:space="preserve">Trimmed away</t>
  </si>
  <si>
    <t xml:space="preserve">Tier 2 costs</t>
  </si>
  <si>
    <t xml:space="preserve">Revised gap</t>
  </si>
  <si>
    <t xml:space="preserve">Tier 2 beyond base wages</t>
  </si>
  <si>
    <t xml:space="preserve">Status</t>
  </si>
  <si>
    <t xml:space="preserve">Category</t>
  </si>
  <si>
    <t xml:space="preserve">Monthly</t>
  </si>
  <si>
    <t xml:space="preserve">Live YNAB target (if not monthly)</t>
  </si>
  <si>
    <t xml:space="preserve">Tier 2 line</t>
  </si>
  <si>
    <t xml:space="preserve">Current</t>
  </si>
  <si>
    <t xml:space="preserve">New</t>
  </si>
  <si>
    <t xml:space="preserve">Saves</t>
  </si>
  <si>
    <t xml:space="preserve">🟩 TIER 1 — covered by base wages</t>
  </si>
  <si>
    <t xml:space="preserve">Bills</t>
  </si>
  <si>
    <t xml:space="preserve">Rent</t>
  </si>
  <si>
    <t xml:space="preserve">Council Tax</t>
  </si>
  <si>
    <t xml:space="preserve">YNAB: £1,096.46 yearly</t>
  </si>
  <si>
    <t xml:space="preserve">Energy</t>
  </si>
  <si>
    <t xml:space="preserve">Water</t>
  </si>
  <si>
    <t xml:space="preserve">Internet</t>
  </si>
  <si>
    <t xml:space="preserve">Insurance</t>
  </si>
  <si>
    <t xml:space="preserve">Prescription</t>
  </si>
  <si>
    <t xml:space="preserve">GiffGaff</t>
  </si>
  <si>
    <t xml:space="preserve">Animal Healthcare</t>
  </si>
  <si>
    <t xml:space="preserve">Wolfie Food</t>
  </si>
  <si>
    <t xml:space="preserve">YNAB: £12.42 every 2 months</t>
  </si>
  <si>
    <t xml:space="preserve">Breakdown Cover</t>
  </si>
  <si>
    <t xml:space="preserve">YNAB: £23.88 yearly</t>
  </si>
  <si>
    <t xml:space="preserve">Subtotal — Bills</t>
  </si>
  <si>
    <t xml:space="preserve">Debts</t>
  </si>
  <si>
    <t xml:space="preserve">Monzo Loan</t>
  </si>
  <si>
    <t xml:space="preserve">ends Feb 2031</t>
  </si>
  <si>
    <t xml:space="preserve">Car Loan</t>
  </si>
  <si>
    <t xml:space="preserve">ends Jan 2027</t>
  </si>
  <si>
    <t xml:space="preserve">Santander CC</t>
  </si>
  <si>
    <t xml:space="preserve">0% ends Jan 2029</t>
  </si>
  <si>
    <t xml:space="preserve">Virgin Money</t>
  </si>
  <si>
    <t xml:space="preserve">0% ends Jun 2027</t>
  </si>
  <si>
    <t xml:space="preserve">Washing Machine</t>
  </si>
  <si>
    <t xml:space="preserve">ends Feb 2027</t>
  </si>
  <si>
    <t xml:space="preserve">Subtotal — Debts</t>
  </si>
  <si>
    <t xml:space="preserve">Required / Yearly Subs</t>
  </si>
  <si>
    <t xml:space="preserve">SECOND-JOB ALLOCATOR</t>
  </si>
  <si>
    <t xml:space="preserve">per month</t>
  </si>
  <si>
    <t xml:space="preserve">Moleskin</t>
  </si>
  <si>
    <t xml:space="preserve">YNAB: £24.99 yearly</t>
  </si>
  <si>
    <t xml:space="preserve">Second-job income this month</t>
  </si>
  <si>
    <t xml:space="preserve">Charities</t>
  </si>
  <si>
    <t xml:space="preserve">Tier 2 gap still to cover</t>
  </si>
  <si>
    <t xml:space="preserve">YNAB</t>
  </si>
  <si>
    <t xml:space="preserve">→ Covers the Tier 2 gap</t>
  </si>
  <si>
    <t xml:space="preserve">HBO/NOW</t>
  </si>
  <si>
    <t xml:space="preserve">→ Lands on Tier 3</t>
  </si>
  <si>
    <t xml:space="preserve">Edge CC</t>
  </si>
  <si>
    <t xml:space="preserve">Microsoft365</t>
  </si>
  <si>
    <t xml:space="preserve">Tip: trim Tier 2 above and the gap shrinks, so more of this income lands on Tier 3.</t>
  </si>
  <si>
    <t xml:space="preserve">iCloud</t>
  </si>
  <si>
    <t xml:space="preserve">Subtotal — Required / Yearly Subs</t>
  </si>
  <si>
    <t xml:space="preserve">Adjustable Needs</t>
  </si>
  <si>
    <t xml:space="preserve">Groceries</t>
  </si>
  <si>
    <t xml:space="preserve">Personal care</t>
  </si>
  <si>
    <t xml:space="preserve">Fuel</t>
  </si>
  <si>
    <t xml:space="preserve">Household Expenses</t>
  </si>
  <si>
    <t xml:space="preserve">Cat Litter</t>
  </si>
  <si>
    <t xml:space="preserve">Subtotal — Adjustable Needs</t>
  </si>
  <si>
    <t xml:space="preserve">TIER 1 TOTAL (base wages cover this)</t>
  </si>
  <si>
    <t xml:space="preserve">🟧 TIER 2 — part base wages, part trim / second income</t>
  </si>
  <si>
    <t xml:space="preserve">Adjustable Wants</t>
  </si>
  <si>
    <t xml:space="preserve">Takeout</t>
  </si>
  <si>
    <t xml:space="preserve">Spending Money</t>
  </si>
  <si>
    <t xml:space="preserve">Outside Time</t>
  </si>
  <si>
    <t xml:space="preserve">Stuff I forgot to plan for</t>
  </si>
  <si>
    <t xml:space="preserve">Haircut</t>
  </si>
  <si>
    <t xml:space="preserve">YNAB: £60 every 2 months</t>
  </si>
  <si>
    <t xml:space="preserve">Molly Birthday</t>
  </si>
  <si>
    <t xml:space="preserve">YNAB: £150 yearly</t>
  </si>
  <si>
    <t xml:space="preserve">Subtotal — Adjustable Wants</t>
  </si>
  <si>
    <t xml:space="preserve">Subscriptions</t>
  </si>
  <si>
    <t xml:space="preserve">Anthropic</t>
  </si>
  <si>
    <t xml:space="preserve">Wavy</t>
  </si>
  <si>
    <t xml:space="preserve">YNAB: £19.80 every 2 months</t>
  </si>
  <si>
    <t xml:space="preserve">Suri</t>
  </si>
  <si>
    <t xml:space="preserve">YNAB: £10.97 every 3 months</t>
  </si>
  <si>
    <t xml:space="preserve">MacroFactor</t>
  </si>
  <si>
    <t xml:space="preserve">YNAB: £89.99 yearly</t>
  </si>
  <si>
    <t xml:space="preserve">Tidal</t>
  </si>
  <si>
    <t xml:space="preserve">Audible</t>
  </si>
  <si>
    <t xml:space="preserve">YNAB: £69.99 yearly</t>
  </si>
  <si>
    <t xml:space="preserve">Game Pass</t>
  </si>
  <si>
    <t xml:space="preserve">ESO</t>
  </si>
  <si>
    <t xml:space="preserve">Monzo+</t>
  </si>
  <si>
    <t xml:space="preserve">Subtotal — Subscriptions</t>
  </si>
  <si>
    <t xml:space="preserve">Savings</t>
  </si>
  <si>
    <t xml:space="preserve">Lloyds Savings</t>
  </si>
  <si>
    <t xml:space="preserve">Subtotal — Savings</t>
  </si>
  <si>
    <t xml:space="preserve">Non-Monthly Expenses</t>
  </si>
  <si>
    <t xml:space="preserve">MOT + Service</t>
  </si>
  <si>
    <t xml:space="preserve">YNAB: £300 yearly</t>
  </si>
  <si>
    <t xml:space="preserve">Christmas</t>
  </si>
  <si>
    <t xml:space="preserve">Birthdays/Presents</t>
  </si>
  <si>
    <t xml:space="preserve">YNAB: £100 yearly</t>
  </si>
  <si>
    <t xml:space="preserve">Subtotal — Non-Monthly Expenses</t>
  </si>
  <si>
    <t xml:space="preserve">TIER 2 TOTAL</t>
  </si>
  <si>
    <t xml:space="preserve">🟪 Payoff cascade — works with or without the second job</t>
  </si>
  <si>
    <t xml:space="preserve">Fill in the blue “Trim actual” and “Extra received” cells month by month as things really happen. Leave a month blank and it assumes you hit your trim goal with no extra. Everything else calculates itself. Order: £500 buffer FIRST → Argos → Virgin Money → Santander → buffer to £750 → Monzo. The buffer is shown as a balance you pay DOWN to £0.</t>
  </si>
  <si>
    <t xml:space="preserve">INPUTS (edit the blue cells)</t>
  </si>
  <si>
    <t xml:space="preserve">DEADLINE CHECKS</t>
  </si>
  <si>
    <t xml:space="preserve">Tier 2 trim goal (£/mo)</t>
  </si>
  <si>
    <t xml:space="preserve">Argos by 22 May 27</t>
  </si>
  <si>
    <t xml:space="preserve">Monzo APR</t>
  </si>
  <si>
    <t xml:space="preserve">Virgin Money by 5 Jun 27</t>
  </si>
  <si>
    <t xml:space="preserve">Monzo minimum (£/mo)</t>
  </si>
  <si>
    <t xml:space="preserve">Santander by Jan 29</t>
  </si>
  <si>
    <t xml:space="preserve">Santander minimum (£/mo)</t>
  </si>
  <si>
    <t xml:space="preserve">Virgin Money minimum (£/mo)</t>
  </si>
  <si>
    <t xml:space="preserve">How to use it: each month, type what you really put in under “Trim actual” and any second-job money under “Extra received.” Blank = you hit your £127 goal with no extra. Your £369 is already in as July’s Extra. “Pot this month” is the total that gets paid out. The buffer is a balance you pay DOWN (£750→£0), filling to £500 first, holding at £250-to-go while the 0% debts clear, then finishing. Grey columns are plumbing. Virgin (£25/mo) and Santander (£20/mo) have minimums that chip away automatically before the pot arrives; each frees to the pot once its debt clears. Virgin Money includes £220 for the pan (bought on a card, moved to the fee-free 0% Virgin balance).</t>
  </si>
  <si>
    <t xml:space="preserve">Starter buffer (funded FIRST)</t>
  </si>
  <si>
    <t xml:space="preserve">Full buffer (after 0% debts)</t>
  </si>
  <si>
    <t xml:space="preserve">Month</t>
  </si>
  <si>
    <t xml:space="preserve">Trim goal</t>
  </si>
  <si>
    <t xml:space="preserve">Trim actual</t>
  </si>
  <si>
    <t xml:space="preserve">Extra received</t>
  </si>
  <si>
    <t xml:space="preserve">Pot this month</t>
  </si>
  <si>
    <t xml:space="preserve">Argos</t>
  </si>
  <si>
    <t xml:space="preserve">Santander</t>
  </si>
  <si>
    <t xml:space="preserve">Buffer to save</t>
  </si>
  <si>
    <t xml:space="preserve">Monzo</t>
  </si>
  <si>
    <t xml:space="preserve">All clear?</t>
  </si>
  <si>
    <t xml:space="preserve">(bal)</t>
  </si>
  <si>
    <t xml:space="preserve">(spare)</t>
  </si>
  <si>
    <t xml:space="preserve">(stage1)</t>
  </si>
  <si>
    <t xml:space="preserve">start →</t>
  </si>
  <si>
    <t xml:space="preserve">Post-debt scenario — once all debts are cleared</t>
  </si>
  <si>
    <t xml:space="preserve">Assumes the Debts group is paid off and the rest of the budget holds steady. Pulls live from the budget sheet.</t>
  </si>
  <si>
    <t xml:space="preserve">A · FROM BASE WAGES (debts gone, spending steady)</t>
  </si>
  <si>
    <t xml:space="preserve">Guaranteed monthly income</t>
  </si>
  <si>
    <t xml:space="preserve">Tier 1 + Tier 2 budget</t>
  </si>
  <si>
    <t xml:space="preserve">   less Debts (cleared)</t>
  </si>
  <si>
    <t xml:space="preserve">   less Lloyds Savings (it IS saving)</t>
  </si>
  <si>
    <t xml:space="preserve">Living costs that remain</t>
  </si>
  <si>
    <t xml:space="preserve">Available to save from base wages</t>
  </si>
  <si>
    <t xml:space="preserve">B · FROM SECOND-JOB INCOME</t>
  </si>
  <si>
    <t xml:space="preserve">Average extra income per month</t>
  </si>
  <si>
    <t xml:space="preserve">All of it to savings</t>
  </si>
  <si>
    <t xml:space="preserve">COMBINED</t>
  </si>
  <si>
    <t xml:space="preserve">Total saved per month</t>
  </si>
  <si>
    <t xml:space="preserve">Total saved per year</t>
  </si>
  <si>
    <t xml:space="preserve">Worth remembering</t>
  </si>
  <si>
    <t xml:space="preserve">• Assumes the budget stays flat — bills/inflation will likely have risen by then, so revisit.</t>
  </si>
  <si>
    <t xml:space="preserve">• Set second-job income to 0 to see the base-wages-only figure.</t>
  </si>
  <si>
    <t xml:space="preserve">• Genuine saving — the yearly sinking funds (MOT, Christmas, birthdays) sit in living costs above, earmarked for known bills.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</si>
</sst>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;&quot;(£&quot;#,##0.00\);\-"/>
    <numFmt numFmtId="166" formatCode="0.0%"/>
    <numFmt numFmtId="167" formatCode="mmm\ 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D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D2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D2B"/>
      <name val="Arial"/>
      <family val="0"/>
      <charset val="1"/>
    </font>
    <font>
      <sz val="10"/>
      <color rgb="FF1F3D2B"/>
      <name val="Arial"/>
      <family val="0"/>
      <charset val="1"/>
    </font>
    <font>
      <b val="true"/>
      <sz val="11"/>
      <color rgb="FF7A3A1C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7A3A1C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8"/>
      <color rgb="FFAAAAAA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2"/>
      <color rgb="FF1F3D2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AD7CC"/>
        <bgColor rgb="FFF3E0D2"/>
      </patternFill>
    </fill>
    <fill>
      <patternFill patternType="solid">
        <fgColor rgb="FFD7E6D2"/>
        <bgColor rgb="FFCFE0DB"/>
      </patternFill>
    </fill>
    <fill>
      <patternFill patternType="solid">
        <fgColor rgb="FFB9D0C9"/>
        <bgColor rgb="FFCFE0DB"/>
      </patternFill>
    </fill>
    <fill>
      <patternFill patternType="solid">
        <fgColor rgb="FFCFE0DB"/>
        <bgColor rgb="FFD7E6D2"/>
      </patternFill>
    </fill>
    <fill>
      <patternFill patternType="solid">
        <fgColor rgb="FFE8EDE6"/>
        <bgColor rgb="FFF0EEE6"/>
      </patternFill>
    </fill>
    <fill>
      <patternFill patternType="solid">
        <fgColor rgb="FFF0EEE6"/>
        <bgColor rgb="FFE8EDE6"/>
      </patternFill>
    </fill>
    <fill>
      <patternFill patternType="solid">
        <fgColor rgb="FFF3E0D2"/>
        <bgColor rgb="FFEAD7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E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D0C9"/>
      <rgbColor rgb="FF808080"/>
      <rgbColor rgb="FF9999FF"/>
      <rgbColor rgb="FF993366"/>
      <rgbColor rgb="FFE8EDE6"/>
      <rgbColor rgb="FFCFE0D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6D2"/>
      <rgbColor rgb="FFF3E0D2"/>
      <rgbColor rgb="FF99CCFF"/>
      <rgbColor rgb="FFFF99CC"/>
      <rgbColor rgb="FFCC99FF"/>
      <rgbColor rgb="FFEAD7CC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7A3A1C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28"/>
    <col collapsed="false" customWidth="true" hidden="false" outlineLevel="0" max="8" min="6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2068</v>
      </c>
      <c r="E4" s="5" t="s">
        <v>3</v>
      </c>
    </row>
    <row r="5" customFormat="false" ht="15" hidden="false" customHeight="false" outlineLevel="0" collapsed="false">
      <c r="A5" s="6" t="s">
        <v>4</v>
      </c>
      <c r="B5" s="7" t="n">
        <f aca="false">B51</f>
        <v>1915.89</v>
      </c>
      <c r="E5" s="6" t="s">
        <v>5</v>
      </c>
      <c r="H5" s="7" t="n">
        <f aca="false">B8</f>
        <v>-217.58</v>
      </c>
    </row>
    <row r="6" customFormat="false" ht="15" hidden="false" customHeight="false" outlineLevel="0" collapsed="false">
      <c r="A6" s="3" t="s">
        <v>6</v>
      </c>
      <c r="B6" s="8" t="n">
        <f aca="false">B4-B5</f>
        <v>152.11</v>
      </c>
      <c r="E6" s="6" t="s">
        <v>7</v>
      </c>
      <c r="H6" s="7" t="n">
        <f aca="false">SUM(H14:H32)</f>
        <v>0</v>
      </c>
    </row>
    <row r="7" customFormat="false" ht="15" hidden="false" customHeight="false" outlineLevel="0" collapsed="false">
      <c r="A7" s="6" t="s">
        <v>8</v>
      </c>
      <c r="B7" s="7" t="n">
        <f aca="false">B81</f>
        <v>369.69</v>
      </c>
      <c r="E7" s="9" t="s">
        <v>9</v>
      </c>
      <c r="H7" s="10" t="n">
        <f aca="false">H5+H6</f>
        <v>-217.58</v>
      </c>
    </row>
    <row r="8" customFormat="false" ht="15" hidden="false" customHeight="false" outlineLevel="0" collapsed="false">
      <c r="A8" s="9" t="s">
        <v>10</v>
      </c>
      <c r="B8" s="10" t="n">
        <f aca="false">B6-B7</f>
        <v>-217.58</v>
      </c>
      <c r="E8" s="11" t="s">
        <v>11</v>
      </c>
      <c r="F8" s="11" t="str">
        <f aca="false">IF(H7&gt;=-0.005,"Covered by base — surplus "&amp;TEXT(H7,"£#,##0.00"),"Still beyond base by "&amp;TEXT(-H7,"£#,##0.00"))</f>
        <v>Still beyond base by £217.58</v>
      </c>
    </row>
    <row r="13" customFormat="false" ht="15" hidden="false" customHeight="false" outlineLevel="0" collapsed="false">
      <c r="A13" s="12" t="s">
        <v>12</v>
      </c>
      <c r="B13" s="13" t="s">
        <v>13</v>
      </c>
      <c r="C13" s="12" t="s">
        <v>14</v>
      </c>
      <c r="E13" s="12" t="s">
        <v>15</v>
      </c>
      <c r="F13" s="13" t="s">
        <v>16</v>
      </c>
      <c r="G13" s="13" t="s">
        <v>17</v>
      </c>
      <c r="H13" s="13" t="s">
        <v>18</v>
      </c>
    </row>
    <row r="14" customFormat="false" ht="15" hidden="false" customHeight="false" outlineLevel="0" collapsed="false">
      <c r="A14" s="14" t="s">
        <v>19</v>
      </c>
      <c r="B14" s="15"/>
      <c r="C14" s="15"/>
      <c r="E14" s="16" t="str">
        <f aca="false">A55</f>
        <v>Takeout</v>
      </c>
      <c r="F14" s="17" t="n">
        <f aca="false">B55</f>
        <v>50</v>
      </c>
      <c r="G14" s="18" t="n">
        <f aca="false">F14</f>
        <v>50</v>
      </c>
      <c r="H14" s="17" t="n">
        <f aca="false">F14-G14</f>
        <v>0</v>
      </c>
    </row>
    <row r="15" customFormat="false" ht="15" hidden="false" customHeight="false" outlineLevel="0" collapsed="false">
      <c r="A15" s="19" t="s">
        <v>20</v>
      </c>
      <c r="B15" s="20"/>
      <c r="C15" s="20"/>
      <c r="E15" s="16" t="str">
        <f aca="false">A56</f>
        <v>Spending Money</v>
      </c>
      <c r="F15" s="17" t="n">
        <f aca="false">B56</f>
        <v>40</v>
      </c>
      <c r="G15" s="18" t="n">
        <f aca="false">F15</f>
        <v>40</v>
      </c>
      <c r="H15" s="17" t="n">
        <f aca="false">F15-G15</f>
        <v>0</v>
      </c>
    </row>
    <row r="16" customFormat="false" ht="15" hidden="false" customHeight="false" outlineLevel="0" collapsed="false">
      <c r="A16" s="16" t="s">
        <v>21</v>
      </c>
      <c r="B16" s="18" t="n">
        <v>750</v>
      </c>
      <c r="C16" s="21"/>
      <c r="E16" s="16" t="str">
        <f aca="false">A57</f>
        <v>Outside Time</v>
      </c>
      <c r="F16" s="17" t="n">
        <f aca="false">B57</f>
        <v>50</v>
      </c>
      <c r="G16" s="18" t="n">
        <f aca="false">F16</f>
        <v>50</v>
      </c>
      <c r="H16" s="17" t="n">
        <f aca="false">F16-G16</f>
        <v>0</v>
      </c>
    </row>
    <row r="17" customFormat="false" ht="15" hidden="false" customHeight="false" outlineLevel="0" collapsed="false">
      <c r="A17" s="16" t="s">
        <v>22</v>
      </c>
      <c r="B17" s="18" t="n">
        <v>91.37</v>
      </c>
      <c r="C17" s="21" t="s">
        <v>23</v>
      </c>
      <c r="E17" s="16" t="str">
        <f aca="false">A58</f>
        <v>Stuff I forgot to plan for</v>
      </c>
      <c r="F17" s="17" t="n">
        <f aca="false">B58</f>
        <v>30</v>
      </c>
      <c r="G17" s="18" t="n">
        <f aca="false">F17</f>
        <v>30</v>
      </c>
      <c r="H17" s="17" t="n">
        <f aca="false">F17-G17</f>
        <v>0</v>
      </c>
    </row>
    <row r="18" customFormat="false" ht="15" hidden="false" customHeight="false" outlineLevel="0" collapsed="false">
      <c r="A18" s="16" t="s">
        <v>24</v>
      </c>
      <c r="B18" s="18" t="n">
        <v>87</v>
      </c>
      <c r="C18" s="21"/>
      <c r="E18" s="16" t="str">
        <f aca="false">A59</f>
        <v>Haircut</v>
      </c>
      <c r="F18" s="17" t="n">
        <f aca="false">B59</f>
        <v>30</v>
      </c>
      <c r="G18" s="18" t="n">
        <f aca="false">F18</f>
        <v>30</v>
      </c>
      <c r="H18" s="17" t="n">
        <f aca="false">F18-G18</f>
        <v>0</v>
      </c>
    </row>
    <row r="19" customFormat="false" ht="15" hidden="false" customHeight="false" outlineLevel="0" collapsed="false">
      <c r="A19" s="16" t="s">
        <v>25</v>
      </c>
      <c r="B19" s="18" t="n">
        <v>38</v>
      </c>
      <c r="C19" s="21"/>
      <c r="E19" s="16" t="str">
        <f aca="false">A60</f>
        <v>Molly Birthday</v>
      </c>
      <c r="F19" s="17" t="n">
        <f aca="false">B60</f>
        <v>12.5</v>
      </c>
      <c r="G19" s="18" t="n">
        <f aca="false">F19</f>
        <v>12.5</v>
      </c>
      <c r="H19" s="17" t="n">
        <f aca="false">F19-G19</f>
        <v>0</v>
      </c>
    </row>
    <row r="20" customFormat="false" ht="15" hidden="false" customHeight="false" outlineLevel="0" collapsed="false">
      <c r="A20" s="16" t="s">
        <v>26</v>
      </c>
      <c r="B20" s="18" t="n">
        <v>26</v>
      </c>
      <c r="C20" s="21"/>
      <c r="E20" s="16" t="str">
        <f aca="false">A63</f>
        <v>Anthropic</v>
      </c>
      <c r="F20" s="17" t="n">
        <f aca="false">B63</f>
        <v>18</v>
      </c>
      <c r="G20" s="18" t="n">
        <f aca="false">F20</f>
        <v>18</v>
      </c>
      <c r="H20" s="17" t="n">
        <f aca="false">F20-G20</f>
        <v>0</v>
      </c>
    </row>
    <row r="21" customFormat="false" ht="15" hidden="false" customHeight="false" outlineLevel="0" collapsed="false">
      <c r="A21" s="16" t="s">
        <v>27</v>
      </c>
      <c r="B21" s="18" t="n">
        <v>23.53</v>
      </c>
      <c r="C21" s="21"/>
      <c r="E21" s="16" t="str">
        <f aca="false">A64</f>
        <v>Wavy</v>
      </c>
      <c r="F21" s="17" t="n">
        <f aca="false">B64</f>
        <v>9.9</v>
      </c>
      <c r="G21" s="18" t="n">
        <f aca="false">F21</f>
        <v>9.9</v>
      </c>
      <c r="H21" s="17" t="n">
        <f aca="false">F21-G21</f>
        <v>0</v>
      </c>
    </row>
    <row r="22" customFormat="false" ht="15" hidden="false" customHeight="false" outlineLevel="0" collapsed="false">
      <c r="A22" s="16" t="s">
        <v>28</v>
      </c>
      <c r="B22" s="18" t="n">
        <v>11.45</v>
      </c>
      <c r="C22" s="21"/>
      <c r="E22" s="16" t="str">
        <f aca="false">A65</f>
        <v>Suri</v>
      </c>
      <c r="F22" s="17" t="n">
        <f aca="false">B65</f>
        <v>3.66</v>
      </c>
      <c r="G22" s="18" t="n">
        <f aca="false">F22</f>
        <v>3.66</v>
      </c>
      <c r="H22" s="17" t="n">
        <f aca="false">F22-G22</f>
        <v>0</v>
      </c>
    </row>
    <row r="23" customFormat="false" ht="15" hidden="false" customHeight="false" outlineLevel="0" collapsed="false">
      <c r="A23" s="16" t="s">
        <v>29</v>
      </c>
      <c r="B23" s="18" t="n">
        <v>10</v>
      </c>
      <c r="C23" s="21"/>
      <c r="E23" s="16" t="str">
        <f aca="false">A66</f>
        <v>MacroFactor</v>
      </c>
      <c r="F23" s="17" t="n">
        <f aca="false">B66</f>
        <v>7.5</v>
      </c>
      <c r="G23" s="18" t="n">
        <f aca="false">F23</f>
        <v>7.5</v>
      </c>
      <c r="H23" s="17" t="n">
        <f aca="false">F23-G23</f>
        <v>0</v>
      </c>
    </row>
    <row r="24" customFormat="false" ht="15" hidden="false" customHeight="false" outlineLevel="0" collapsed="false">
      <c r="A24" s="16" t="s">
        <v>30</v>
      </c>
      <c r="B24" s="18" t="n">
        <v>8.5</v>
      </c>
      <c r="C24" s="21"/>
      <c r="E24" s="16" t="str">
        <f aca="false">A67</f>
        <v>Tidal</v>
      </c>
      <c r="F24" s="17" t="n">
        <f aca="false">B67</f>
        <v>10.99</v>
      </c>
      <c r="G24" s="18" t="n">
        <f aca="false">F24</f>
        <v>10.99</v>
      </c>
      <c r="H24" s="17" t="n">
        <f aca="false">F24-G24</f>
        <v>0</v>
      </c>
    </row>
    <row r="25" customFormat="false" ht="15" hidden="false" customHeight="false" outlineLevel="0" collapsed="false">
      <c r="A25" s="16" t="s">
        <v>31</v>
      </c>
      <c r="B25" s="18" t="n">
        <v>6.21</v>
      </c>
      <c r="C25" s="21" t="s">
        <v>32</v>
      </c>
      <c r="E25" s="16" t="str">
        <f aca="false">A68</f>
        <v>Audible</v>
      </c>
      <c r="F25" s="17" t="n">
        <f aca="false">B68</f>
        <v>5.83</v>
      </c>
      <c r="G25" s="18" t="n">
        <f aca="false">F25</f>
        <v>5.83</v>
      </c>
      <c r="H25" s="17" t="n">
        <f aca="false">F25-G25</f>
        <v>0</v>
      </c>
    </row>
    <row r="26" customFormat="false" ht="15" hidden="false" customHeight="false" outlineLevel="0" collapsed="false">
      <c r="A26" s="16" t="s">
        <v>33</v>
      </c>
      <c r="B26" s="18" t="n">
        <v>1.99</v>
      </c>
      <c r="C26" s="21" t="s">
        <v>34</v>
      </c>
      <c r="E26" s="16" t="str">
        <f aca="false">A69</f>
        <v>Game Pass</v>
      </c>
      <c r="F26" s="17" t="n">
        <f aca="false">B69</f>
        <v>10.99</v>
      </c>
      <c r="G26" s="18" t="n">
        <f aca="false">F26</f>
        <v>10.99</v>
      </c>
      <c r="H26" s="17" t="n">
        <f aca="false">F26-G26</f>
        <v>0</v>
      </c>
    </row>
    <row r="27" customFormat="false" ht="15" hidden="false" customHeight="false" outlineLevel="0" collapsed="false">
      <c r="A27" s="22" t="s">
        <v>35</v>
      </c>
      <c r="B27" s="23" t="n">
        <f aca="false">SUM(B16:B26)</f>
        <v>1054.05</v>
      </c>
      <c r="C27" s="24"/>
      <c r="E27" s="16" t="str">
        <f aca="false">A70</f>
        <v>ESO</v>
      </c>
      <c r="F27" s="17" t="n">
        <f aca="false">B70</f>
        <v>8.99</v>
      </c>
      <c r="G27" s="18" t="n">
        <f aca="false">F27</f>
        <v>8.99</v>
      </c>
      <c r="H27" s="17" t="n">
        <f aca="false">F27-G27</f>
        <v>0</v>
      </c>
    </row>
    <row r="28" customFormat="false" ht="15" hidden="false" customHeight="false" outlineLevel="0" collapsed="false">
      <c r="A28" s="19" t="s">
        <v>36</v>
      </c>
      <c r="B28" s="20"/>
      <c r="C28" s="20"/>
      <c r="E28" s="16" t="str">
        <f aca="false">A71</f>
        <v>Monzo+</v>
      </c>
      <c r="F28" s="17" t="n">
        <f aca="false">B71</f>
        <v>3</v>
      </c>
      <c r="G28" s="18" t="n">
        <f aca="false">F28</f>
        <v>3</v>
      </c>
      <c r="H28" s="17" t="n">
        <f aca="false">F28-G28</f>
        <v>0</v>
      </c>
    </row>
    <row r="29" customFormat="false" ht="15" hidden="false" customHeight="false" outlineLevel="0" collapsed="false">
      <c r="A29" s="16" t="s">
        <v>37</v>
      </c>
      <c r="B29" s="18" t="n">
        <v>169.08</v>
      </c>
      <c r="C29" s="21" t="s">
        <v>38</v>
      </c>
      <c r="E29" s="16" t="str">
        <f aca="false">A74</f>
        <v>Lloyds Savings</v>
      </c>
      <c r="F29" s="17" t="n">
        <f aca="false">B74</f>
        <v>20</v>
      </c>
      <c r="G29" s="18" t="n">
        <f aca="false">F29</f>
        <v>20</v>
      </c>
      <c r="H29" s="17" t="n">
        <f aca="false">F29-G29</f>
        <v>0</v>
      </c>
    </row>
    <row r="30" customFormat="false" ht="15" hidden="false" customHeight="false" outlineLevel="0" collapsed="false">
      <c r="A30" s="16" t="s">
        <v>39</v>
      </c>
      <c r="B30" s="18" t="n">
        <v>96.24</v>
      </c>
      <c r="C30" s="21" t="s">
        <v>40</v>
      </c>
      <c r="E30" s="16" t="str">
        <f aca="false">A77</f>
        <v>MOT + Service</v>
      </c>
      <c r="F30" s="17" t="n">
        <f aca="false">B77</f>
        <v>25</v>
      </c>
      <c r="G30" s="18" t="n">
        <f aca="false">F30</f>
        <v>25</v>
      </c>
      <c r="H30" s="17" t="n">
        <f aca="false">F30-G30</f>
        <v>0</v>
      </c>
    </row>
    <row r="31" customFormat="false" ht="15" hidden="false" customHeight="false" outlineLevel="0" collapsed="false">
      <c r="A31" s="16" t="s">
        <v>41</v>
      </c>
      <c r="B31" s="18" t="n">
        <v>20</v>
      </c>
      <c r="C31" s="21" t="s">
        <v>42</v>
      </c>
      <c r="E31" s="16" t="str">
        <f aca="false">A78</f>
        <v>Christmas</v>
      </c>
      <c r="F31" s="17" t="n">
        <f aca="false">B78</f>
        <v>25</v>
      </c>
      <c r="G31" s="18" t="n">
        <f aca="false">F31</f>
        <v>25</v>
      </c>
      <c r="H31" s="17" t="n">
        <f aca="false">F31-G31</f>
        <v>0</v>
      </c>
    </row>
    <row r="32" customFormat="false" ht="15" hidden="false" customHeight="false" outlineLevel="0" collapsed="false">
      <c r="A32" s="16" t="s">
        <v>43</v>
      </c>
      <c r="B32" s="18" t="n">
        <v>25</v>
      </c>
      <c r="C32" s="21" t="s">
        <v>44</v>
      </c>
      <c r="E32" s="16" t="str">
        <f aca="false">A79</f>
        <v>Birthdays/Presents</v>
      </c>
      <c r="F32" s="17" t="n">
        <f aca="false">B79</f>
        <v>8.33</v>
      </c>
      <c r="G32" s="18" t="n">
        <f aca="false">F32</f>
        <v>8.33</v>
      </c>
      <c r="H32" s="17" t="n">
        <f aca="false">F32-G32</f>
        <v>0</v>
      </c>
    </row>
    <row r="33" customFormat="false" ht="15" hidden="false" customHeight="false" outlineLevel="0" collapsed="false">
      <c r="A33" s="16" t="s">
        <v>45</v>
      </c>
      <c r="B33" s="18" t="n">
        <v>18.17</v>
      </c>
      <c r="C33" s="21" t="s">
        <v>46</v>
      </c>
    </row>
    <row r="34" customFormat="false" ht="15" hidden="false" customHeight="false" outlineLevel="0" collapsed="false">
      <c r="A34" s="22" t="s">
        <v>47</v>
      </c>
      <c r="B34" s="23" t="n">
        <f aca="false">SUM(B29:B33)</f>
        <v>328.49</v>
      </c>
      <c r="C34" s="24"/>
    </row>
    <row r="35" customFormat="false" ht="15" hidden="false" customHeight="false" outlineLevel="0" collapsed="false">
      <c r="A35" s="19" t="s">
        <v>48</v>
      </c>
      <c r="B35" s="20"/>
      <c r="C35" s="20"/>
      <c r="E35" s="25" t="s">
        <v>49</v>
      </c>
      <c r="F35" s="26"/>
      <c r="G35" s="26"/>
      <c r="H35" s="27" t="s">
        <v>50</v>
      </c>
    </row>
    <row r="36" customFormat="false" ht="15" hidden="false" customHeight="false" outlineLevel="0" collapsed="false">
      <c r="A36" s="16" t="s">
        <v>51</v>
      </c>
      <c r="B36" s="18" t="n">
        <v>2.08</v>
      </c>
      <c r="C36" s="21" t="s">
        <v>52</v>
      </c>
      <c r="E36" s="6" t="s">
        <v>53</v>
      </c>
      <c r="H36" s="4" t="n">
        <v>200</v>
      </c>
    </row>
    <row r="37" customFormat="false" ht="15" hidden="false" customHeight="false" outlineLevel="0" collapsed="false">
      <c r="A37" s="16" t="s">
        <v>54</v>
      </c>
      <c r="B37" s="18" t="n">
        <v>8</v>
      </c>
      <c r="C37" s="21"/>
      <c r="E37" s="6" t="s">
        <v>55</v>
      </c>
      <c r="H37" s="7" t="n">
        <f aca="false">MAX(0,-H7)</f>
        <v>217.58</v>
      </c>
    </row>
    <row r="38" customFormat="false" ht="15" hidden="false" customHeight="false" outlineLevel="0" collapsed="false">
      <c r="A38" s="16" t="s">
        <v>56</v>
      </c>
      <c r="B38" s="18" t="n">
        <v>6.5</v>
      </c>
      <c r="C38" s="21"/>
      <c r="E38" s="6" t="s">
        <v>57</v>
      </c>
      <c r="H38" s="7" t="n">
        <f aca="false">MIN(H36,H37)</f>
        <v>200</v>
      </c>
    </row>
    <row r="39" customFormat="false" ht="15" hidden="false" customHeight="false" outlineLevel="0" collapsed="false">
      <c r="A39" s="16" t="s">
        <v>58</v>
      </c>
      <c r="B39" s="18" t="n">
        <v>6.49</v>
      </c>
      <c r="C39" s="21"/>
      <c r="E39" s="28" t="s">
        <v>59</v>
      </c>
      <c r="H39" s="29" t="n">
        <f aca="false">MAX(0,H36-H37)</f>
        <v>0</v>
      </c>
    </row>
    <row r="40" customFormat="false" ht="15" hidden="false" customHeight="false" outlineLevel="0" collapsed="false">
      <c r="A40" s="16" t="s">
        <v>60</v>
      </c>
      <c r="B40" s="18" t="n">
        <v>3</v>
      </c>
      <c r="C40" s="21"/>
      <c r="E40" s="3" t="s">
        <v>11</v>
      </c>
      <c r="F40" s="3" t="str">
        <f aca="false">IF(H36&gt;=H37,"£"&amp;TEXT(H39,"#,##0.00")&amp;" to Tier 3 this month","Tier 2 short by "&amp;TEXT(H37-H36,"£#,##0.00")&amp;" — trim more or dip in")</f>
        <v>Tier 2 short by £17.58 — trim more or dip in</v>
      </c>
    </row>
    <row r="41" customFormat="false" ht="15" hidden="false" customHeight="false" outlineLevel="0" collapsed="false">
      <c r="A41" s="16" t="s">
        <v>61</v>
      </c>
      <c r="B41" s="18" t="n">
        <v>1.99</v>
      </c>
      <c r="C41" s="21"/>
      <c r="E41" s="2" t="s">
        <v>62</v>
      </c>
    </row>
    <row r="42" customFormat="false" ht="15" hidden="false" customHeight="false" outlineLevel="0" collapsed="false">
      <c r="A42" s="16" t="s">
        <v>63</v>
      </c>
      <c r="B42" s="18" t="n">
        <v>2.99</v>
      </c>
      <c r="C42" s="21"/>
    </row>
    <row r="43" customFormat="false" ht="15" hidden="false" customHeight="false" outlineLevel="0" collapsed="false">
      <c r="A43" s="22" t="s">
        <v>64</v>
      </c>
      <c r="B43" s="23" t="n">
        <f aca="false">SUM(B36:B42)</f>
        <v>31.05</v>
      </c>
      <c r="C43" s="24"/>
    </row>
    <row r="44" customFormat="false" ht="15" hidden="false" customHeight="false" outlineLevel="0" collapsed="false">
      <c r="A44" s="19" t="s">
        <v>65</v>
      </c>
      <c r="B44" s="20"/>
      <c r="C44" s="20"/>
    </row>
    <row r="45" customFormat="false" ht="15" hidden="false" customHeight="false" outlineLevel="0" collapsed="false">
      <c r="A45" s="16" t="s">
        <v>66</v>
      </c>
      <c r="B45" s="18" t="n">
        <v>360</v>
      </c>
      <c r="C45" s="21"/>
    </row>
    <row r="46" customFormat="false" ht="15" hidden="false" customHeight="false" outlineLevel="0" collapsed="false">
      <c r="A46" s="16" t="s">
        <v>67</v>
      </c>
      <c r="B46" s="18" t="n">
        <v>65</v>
      </c>
      <c r="C46" s="21"/>
    </row>
    <row r="47" customFormat="false" ht="15" hidden="false" customHeight="false" outlineLevel="0" collapsed="false">
      <c r="A47" s="16" t="s">
        <v>68</v>
      </c>
      <c r="B47" s="18" t="n">
        <v>45</v>
      </c>
      <c r="C47" s="21"/>
    </row>
    <row r="48" customFormat="false" ht="15" hidden="false" customHeight="false" outlineLevel="0" collapsed="false">
      <c r="A48" s="16" t="s">
        <v>69</v>
      </c>
      <c r="B48" s="18" t="n">
        <v>25</v>
      </c>
      <c r="C48" s="21"/>
    </row>
    <row r="49" customFormat="false" ht="15" hidden="false" customHeight="false" outlineLevel="0" collapsed="false">
      <c r="A49" s="16" t="s">
        <v>70</v>
      </c>
      <c r="B49" s="18" t="n">
        <v>7.3</v>
      </c>
      <c r="C49" s="21"/>
    </row>
    <row r="50" customFormat="false" ht="15" hidden="false" customHeight="false" outlineLevel="0" collapsed="false">
      <c r="A50" s="22" t="s">
        <v>71</v>
      </c>
      <c r="B50" s="23" t="n">
        <f aca="false">SUM(B45:B49)</f>
        <v>502.3</v>
      </c>
      <c r="C50" s="24"/>
    </row>
    <row r="51" customFormat="false" ht="15" hidden="false" customHeight="false" outlineLevel="0" collapsed="false">
      <c r="A51" s="30" t="s">
        <v>72</v>
      </c>
      <c r="B51" s="31" t="n">
        <f aca="false">B27+B34+B43+B50</f>
        <v>1915.89</v>
      </c>
      <c r="C51" s="32"/>
    </row>
    <row r="53" customFormat="false" ht="15" hidden="false" customHeight="false" outlineLevel="0" collapsed="false">
      <c r="A53" s="25" t="s">
        <v>73</v>
      </c>
      <c r="B53" s="26"/>
      <c r="C53" s="26"/>
    </row>
    <row r="54" customFormat="false" ht="15" hidden="false" customHeight="false" outlineLevel="0" collapsed="false">
      <c r="A54" s="19" t="s">
        <v>74</v>
      </c>
      <c r="B54" s="20"/>
      <c r="C54" s="20"/>
    </row>
    <row r="55" customFormat="false" ht="15" hidden="false" customHeight="false" outlineLevel="0" collapsed="false">
      <c r="A55" s="16" t="s">
        <v>75</v>
      </c>
      <c r="B55" s="18" t="n">
        <v>50</v>
      </c>
      <c r="C55" s="21"/>
    </row>
    <row r="56" customFormat="false" ht="15" hidden="false" customHeight="false" outlineLevel="0" collapsed="false">
      <c r="A56" s="16" t="s">
        <v>76</v>
      </c>
      <c r="B56" s="18" t="n">
        <v>40</v>
      </c>
      <c r="C56" s="21"/>
    </row>
    <row r="57" customFormat="false" ht="15" hidden="false" customHeight="false" outlineLevel="0" collapsed="false">
      <c r="A57" s="16" t="s">
        <v>77</v>
      </c>
      <c r="B57" s="18" t="n">
        <v>50</v>
      </c>
      <c r="C57" s="21"/>
    </row>
    <row r="58" customFormat="false" ht="15" hidden="false" customHeight="false" outlineLevel="0" collapsed="false">
      <c r="A58" s="16" t="s">
        <v>78</v>
      </c>
      <c r="B58" s="18" t="n">
        <v>30</v>
      </c>
      <c r="C58" s="21"/>
    </row>
    <row r="59" customFormat="false" ht="15" hidden="false" customHeight="false" outlineLevel="0" collapsed="false">
      <c r="A59" s="16" t="s">
        <v>79</v>
      </c>
      <c r="B59" s="18" t="n">
        <v>30</v>
      </c>
      <c r="C59" s="21" t="s">
        <v>80</v>
      </c>
    </row>
    <row r="60" customFormat="false" ht="15" hidden="false" customHeight="false" outlineLevel="0" collapsed="false">
      <c r="A60" s="16" t="s">
        <v>81</v>
      </c>
      <c r="B60" s="18" t="n">
        <v>12.5</v>
      </c>
      <c r="C60" s="21" t="s">
        <v>82</v>
      </c>
    </row>
    <row r="61" customFormat="false" ht="15" hidden="false" customHeight="false" outlineLevel="0" collapsed="false">
      <c r="A61" s="22" t="s">
        <v>83</v>
      </c>
      <c r="B61" s="23" t="n">
        <f aca="false">SUM(B55:B60)</f>
        <v>212.5</v>
      </c>
      <c r="C61" s="24"/>
    </row>
    <row r="62" customFormat="false" ht="15" hidden="false" customHeight="false" outlineLevel="0" collapsed="false">
      <c r="A62" s="19" t="s">
        <v>84</v>
      </c>
      <c r="B62" s="20"/>
      <c r="C62" s="20"/>
    </row>
    <row r="63" customFormat="false" ht="15" hidden="false" customHeight="false" outlineLevel="0" collapsed="false">
      <c r="A63" s="16" t="s">
        <v>85</v>
      </c>
      <c r="B63" s="18" t="n">
        <v>18</v>
      </c>
      <c r="C63" s="21"/>
    </row>
    <row r="64" customFormat="false" ht="15" hidden="false" customHeight="false" outlineLevel="0" collapsed="false">
      <c r="A64" s="16" t="s">
        <v>86</v>
      </c>
      <c r="B64" s="18" t="n">
        <v>9.9</v>
      </c>
      <c r="C64" s="21" t="s">
        <v>87</v>
      </c>
    </row>
    <row r="65" customFormat="false" ht="15" hidden="false" customHeight="false" outlineLevel="0" collapsed="false">
      <c r="A65" s="16" t="s">
        <v>88</v>
      </c>
      <c r="B65" s="18" t="n">
        <v>3.66</v>
      </c>
      <c r="C65" s="21" t="s">
        <v>89</v>
      </c>
    </row>
    <row r="66" customFormat="false" ht="15" hidden="false" customHeight="false" outlineLevel="0" collapsed="false">
      <c r="A66" s="16" t="s">
        <v>90</v>
      </c>
      <c r="B66" s="18" t="n">
        <v>7.5</v>
      </c>
      <c r="C66" s="21" t="s">
        <v>91</v>
      </c>
    </row>
    <row r="67" customFormat="false" ht="15" hidden="false" customHeight="false" outlineLevel="0" collapsed="false">
      <c r="A67" s="16" t="s">
        <v>92</v>
      </c>
      <c r="B67" s="18" t="n">
        <v>10.99</v>
      </c>
      <c r="C67" s="21"/>
    </row>
    <row r="68" customFormat="false" ht="15" hidden="false" customHeight="false" outlineLevel="0" collapsed="false">
      <c r="A68" s="16" t="s">
        <v>93</v>
      </c>
      <c r="B68" s="18" t="n">
        <v>5.83</v>
      </c>
      <c r="C68" s="21" t="s">
        <v>94</v>
      </c>
    </row>
    <row r="69" customFormat="false" ht="15" hidden="false" customHeight="false" outlineLevel="0" collapsed="false">
      <c r="A69" s="16" t="s">
        <v>95</v>
      </c>
      <c r="B69" s="18" t="n">
        <v>10.99</v>
      </c>
      <c r="C69" s="21"/>
    </row>
    <row r="70" customFormat="false" ht="15" hidden="false" customHeight="false" outlineLevel="0" collapsed="false">
      <c r="A70" s="16" t="s">
        <v>96</v>
      </c>
      <c r="B70" s="18" t="n">
        <v>8.99</v>
      </c>
      <c r="C70" s="21"/>
    </row>
    <row r="71" customFormat="false" ht="15" hidden="false" customHeight="false" outlineLevel="0" collapsed="false">
      <c r="A71" s="16" t="s">
        <v>97</v>
      </c>
      <c r="B71" s="18" t="n">
        <v>3</v>
      </c>
      <c r="C71" s="21"/>
    </row>
    <row r="72" customFormat="false" ht="15" hidden="false" customHeight="false" outlineLevel="0" collapsed="false">
      <c r="A72" s="22" t="s">
        <v>98</v>
      </c>
      <c r="B72" s="23" t="n">
        <f aca="false">SUM(B63:B71)</f>
        <v>78.86</v>
      </c>
      <c r="C72" s="24"/>
    </row>
    <row r="73" customFormat="false" ht="15" hidden="false" customHeight="false" outlineLevel="0" collapsed="false">
      <c r="A73" s="19" t="s">
        <v>99</v>
      </c>
      <c r="B73" s="20"/>
      <c r="C73" s="20"/>
    </row>
    <row r="74" customFormat="false" ht="15" hidden="false" customHeight="false" outlineLevel="0" collapsed="false">
      <c r="A74" s="16" t="s">
        <v>100</v>
      </c>
      <c r="B74" s="18" t="n">
        <v>20</v>
      </c>
      <c r="C74" s="21"/>
    </row>
    <row r="75" customFormat="false" ht="15" hidden="false" customHeight="false" outlineLevel="0" collapsed="false">
      <c r="A75" s="22" t="s">
        <v>101</v>
      </c>
      <c r="B75" s="23" t="n">
        <f aca="false">SUM(B74:B74)</f>
        <v>20</v>
      </c>
      <c r="C75" s="24"/>
    </row>
    <row r="76" customFormat="false" ht="15" hidden="false" customHeight="false" outlineLevel="0" collapsed="false">
      <c r="A76" s="19" t="s">
        <v>102</v>
      </c>
      <c r="B76" s="20"/>
      <c r="C76" s="20"/>
    </row>
    <row r="77" customFormat="false" ht="15" hidden="false" customHeight="false" outlineLevel="0" collapsed="false">
      <c r="A77" s="16" t="s">
        <v>103</v>
      </c>
      <c r="B77" s="18" t="n">
        <v>25</v>
      </c>
      <c r="C77" s="21" t="s">
        <v>104</v>
      </c>
    </row>
    <row r="78" customFormat="false" ht="15" hidden="false" customHeight="false" outlineLevel="0" collapsed="false">
      <c r="A78" s="16" t="s">
        <v>105</v>
      </c>
      <c r="B78" s="18" t="n">
        <v>25</v>
      </c>
      <c r="C78" s="21" t="s">
        <v>104</v>
      </c>
    </row>
    <row r="79" customFormat="false" ht="15" hidden="false" customHeight="false" outlineLevel="0" collapsed="false">
      <c r="A79" s="16" t="s">
        <v>106</v>
      </c>
      <c r="B79" s="18" t="n">
        <v>8.33</v>
      </c>
      <c r="C79" s="21" t="s">
        <v>107</v>
      </c>
    </row>
    <row r="80" customFormat="false" ht="15" hidden="false" customHeight="false" outlineLevel="0" collapsed="false">
      <c r="A80" s="22" t="s">
        <v>108</v>
      </c>
      <c r="B80" s="23" t="n">
        <f aca="false">SUM(B77:B79)</f>
        <v>58.33</v>
      </c>
      <c r="C80" s="24"/>
    </row>
    <row r="81" customFormat="false" ht="15" hidden="false" customHeight="false" outlineLevel="0" collapsed="false">
      <c r="A81" s="30" t="s">
        <v>109</v>
      </c>
      <c r="B81" s="31" t="n">
        <f aca="false">B61+B72+B75+B80</f>
        <v>369.69</v>
      </c>
      <c r="C81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9"/>
    <col collapsed="false" customWidth="true" hidden="false" outlineLevel="0" max="14" min="12" style="0" width="8"/>
  </cols>
  <sheetData>
    <row r="1" customFormat="false" ht="19.7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  <c r="D4" s="33" t="s">
        <v>113</v>
      </c>
    </row>
    <row r="5" customFormat="false" ht="15" hidden="false" customHeight="false" outlineLevel="0" collapsed="false">
      <c r="A5" s="6" t="s">
        <v>114</v>
      </c>
      <c r="B5" s="4" t="n">
        <v>127</v>
      </c>
      <c r="D5" s="6" t="s">
        <v>115</v>
      </c>
      <c r="E5" s="3" t="str">
        <f aca="false">IF(F24&lt;=0,"OK — cleared in time","AT RISK — £"&amp;TEXT(F24,"#,##0")&amp;" left Apr 27")</f>
        <v>OK — cleared in time</v>
      </c>
    </row>
    <row r="6" customFormat="false" ht="15" hidden="false" customHeight="false" outlineLevel="0" collapsed="false">
      <c r="A6" s="6" t="s">
        <v>116</v>
      </c>
      <c r="B6" s="34" t="n">
        <v>0.067</v>
      </c>
      <c r="D6" s="6" t="s">
        <v>117</v>
      </c>
      <c r="E6" s="3" t="str">
        <f aca="false">IF(G25&lt;=0,"OK — cleared in time","AT RISK — £"&amp;TEXT(G25,"#,##0")&amp;" left May 27; balance-transfer the rest (~3-4% fee)")</f>
        <v>AT RISK — £204 left May 27; balance-transfer the rest (~3-4% fee)</v>
      </c>
    </row>
    <row r="7" customFormat="false" ht="15" hidden="false" customHeight="false" outlineLevel="0" collapsed="false">
      <c r="A7" s="6" t="s">
        <v>118</v>
      </c>
      <c r="B7" s="4" t="n">
        <v>169.08</v>
      </c>
      <c r="D7" s="6" t="s">
        <v>119</v>
      </c>
      <c r="E7" s="3" t="str">
        <f aca="false">IF(H44&lt;=0,"OK — cleared in time","AT RISK — £"&amp;TEXT(H44,"#,##0")&amp;" left Dec 28")</f>
        <v>OK — cleared in time</v>
      </c>
    </row>
    <row r="8" customFormat="false" ht="15" hidden="false" customHeight="false" outlineLevel="0" collapsed="false">
      <c r="A8" s="6" t="s">
        <v>120</v>
      </c>
      <c r="B8" s="4" t="n">
        <v>20</v>
      </c>
    </row>
    <row r="9" customFormat="false" ht="69.75" hidden="false" customHeight="true" outlineLevel="0" collapsed="false">
      <c r="A9" s="6" t="s">
        <v>121</v>
      </c>
      <c r="B9" s="4" t="n">
        <v>25</v>
      </c>
      <c r="D9" s="35" t="s">
        <v>122</v>
      </c>
    </row>
    <row r="10" customFormat="false" ht="15" hidden="false" customHeight="false" outlineLevel="0" collapsed="false">
      <c r="A10" s="6" t="s">
        <v>123</v>
      </c>
      <c r="B10" s="4" t="n">
        <v>500</v>
      </c>
    </row>
    <row r="11" customFormat="false" ht="15" hidden="false" customHeight="false" outlineLevel="0" collapsed="false">
      <c r="A11" s="6" t="s">
        <v>124</v>
      </c>
      <c r="B11" s="4" t="n">
        <v>750</v>
      </c>
    </row>
    <row r="13" customFormat="false" ht="23.85" hidden="false" customHeight="false" outlineLevel="0" collapsed="false">
      <c r="A13" s="36" t="s">
        <v>125</v>
      </c>
      <c r="B13" s="36" t="s">
        <v>126</v>
      </c>
      <c r="C13" s="36" t="s">
        <v>127</v>
      </c>
      <c r="D13" s="36" t="s">
        <v>128</v>
      </c>
      <c r="E13" s="36" t="s">
        <v>129</v>
      </c>
      <c r="F13" s="36" t="s">
        <v>130</v>
      </c>
      <c r="G13" s="36" t="s">
        <v>43</v>
      </c>
      <c r="H13" s="36" t="s">
        <v>131</v>
      </c>
      <c r="I13" s="36" t="s">
        <v>132</v>
      </c>
      <c r="J13" s="36" t="s">
        <v>133</v>
      </c>
      <c r="K13" s="36" t="s">
        <v>134</v>
      </c>
      <c r="L13" s="37" t="s">
        <v>135</v>
      </c>
      <c r="M13" s="37" t="s">
        <v>136</v>
      </c>
      <c r="N13" s="37" t="s">
        <v>137</v>
      </c>
    </row>
    <row r="14" customFormat="false" ht="15" hidden="false" customHeight="false" outlineLevel="0" collapsed="false">
      <c r="A14" s="38" t="n">
        <v>46174</v>
      </c>
      <c r="E14" s="39" t="s">
        <v>138</v>
      </c>
      <c r="F14" s="40" t="n">
        <v>737.45</v>
      </c>
      <c r="G14" s="40" t="n">
        <v>1320</v>
      </c>
      <c r="H14" s="40" t="n">
        <v>1593.4</v>
      </c>
      <c r="I14" s="40" t="n">
        <f aca="false">$B$11</f>
        <v>750</v>
      </c>
      <c r="J14" s="40" t="n">
        <v>9637</v>
      </c>
      <c r="L14" s="41" t="n">
        <v>0</v>
      </c>
    </row>
    <row r="15" customFormat="false" ht="15" hidden="false" customHeight="false" outlineLevel="0" collapsed="false">
      <c r="A15" s="42" t="n">
        <v>46204</v>
      </c>
      <c r="B15" s="43" t="n">
        <f aca="false">$B$5</f>
        <v>127</v>
      </c>
      <c r="C15" s="18" t="n">
        <v>0</v>
      </c>
      <c r="D15" s="18" t="n">
        <v>369</v>
      </c>
      <c r="E15" s="44" t="n">
        <f aca="false">IF(ISBLANK(C15),B15,C15)+IF(ISBLANK(D15),0,D15)+IF(A15&gt;=DATE(2027,2,1),96.24,0)+IF(A15&gt;=DATE(2027,3,1),18.17,0)+IF(J14&lt;=0,$B$7,0)+IF(G14&lt;=0,$B$9,0)+IF(H14&lt;=0,$B$8,0)</f>
        <v>369</v>
      </c>
      <c r="F15" s="17" t="n">
        <f aca="false">MAX(0,F14-(E15-N15))</f>
        <v>737.45</v>
      </c>
      <c r="G15" s="17" t="n">
        <f aca="false">MAX(0,G14-$B$9-MAX(0,(E15-N15)-F14))</f>
        <v>1295</v>
      </c>
      <c r="H15" s="17" t="n">
        <f aca="false">MAX(0,H14-$B$8-MAX(0,(E15-N15)-F14-G14))</f>
        <v>1573.4</v>
      </c>
      <c r="I15" s="17" t="n">
        <f aca="false">$B$11-L15</f>
        <v>381</v>
      </c>
      <c r="J15" s="17" t="n">
        <f aca="false">MAX(0,J14*(1+$B$6/12)-IF(J14&gt;0,$B$7,0)-MAX(0,M15-(L15-(L14+N15))))</f>
        <v>9521.72658333333</v>
      </c>
      <c r="K15" s="45" t="str">
        <f aca="false">IF(AND(F15=0,G15=0,H15=0,I15&lt;=0,J15=0),"✓","")</f>
        <v/>
      </c>
      <c r="L15" s="46" t="n">
        <f aca="false">MIN($B$11,L14+N15+M15)</f>
        <v>369</v>
      </c>
      <c r="M15" s="46" t="n">
        <f aca="false">MAX(0,(E15-N15)-F14-G14-MAX(0,H14-$B$8))</f>
        <v>0</v>
      </c>
      <c r="N15" s="46" t="n">
        <f aca="false">MIN(E15,MAX(0,$B$10-L14))</f>
        <v>369</v>
      </c>
    </row>
    <row r="16" customFormat="false" ht="15" hidden="false" customHeight="false" outlineLevel="0" collapsed="false">
      <c r="A16" s="42" t="n">
        <v>46235</v>
      </c>
      <c r="B16" s="43" t="n">
        <f aca="false">$B$5</f>
        <v>127</v>
      </c>
      <c r="C16" s="18"/>
      <c r="D16" s="18"/>
      <c r="E16" s="44" t="n">
        <f aca="false">IF(ISBLANK(C16),B16,C16)+IF(ISBLANK(D16),0,D16)+IF(A16&gt;=DATE(2027,2,1),96.24,0)+IF(A16&gt;=DATE(2027,3,1),18.17,0)+IF(J15&lt;=0,$B$7,0)+IF(G15&lt;=0,$B$9,0)+IF(H15&lt;=0,$B$8,0)</f>
        <v>127</v>
      </c>
      <c r="F16" s="17" t="n">
        <f aca="false">MAX(0,F15-(E16-N16))</f>
        <v>737.45</v>
      </c>
      <c r="G16" s="17" t="n">
        <f aca="false">MAX(0,G15-$B$9-MAX(0,(E16-N16)-F15))</f>
        <v>1270</v>
      </c>
      <c r="H16" s="17" t="n">
        <f aca="false">MAX(0,H15-$B$8-MAX(0,(E16-N16)-F15-G15))</f>
        <v>1553.4</v>
      </c>
      <c r="I16" s="17" t="n">
        <f aca="false">$B$11-L16</f>
        <v>254</v>
      </c>
      <c r="J16" s="17" t="n">
        <f aca="false">MAX(0,J15*(1+$B$6/12)-IF(J15&gt;0,$B$7,0)-MAX(0,M16-(L16-(L15+N16))))</f>
        <v>9405.80955675694</v>
      </c>
      <c r="K16" s="45" t="str">
        <f aca="false">IF(AND(F16=0,G16=0,H16=0,I16&lt;=0,J16=0),"✓","")</f>
        <v/>
      </c>
      <c r="L16" s="46" t="n">
        <f aca="false">MIN($B$11,L15+N16+M16)</f>
        <v>496</v>
      </c>
      <c r="M16" s="46" t="n">
        <f aca="false">MAX(0,(E16-N16)-F15-G15-MAX(0,H15-$B$8))</f>
        <v>0</v>
      </c>
      <c r="N16" s="46" t="n">
        <f aca="false">MIN(E16,MAX(0,$B$10-L15))</f>
        <v>127</v>
      </c>
    </row>
    <row r="17" customFormat="false" ht="15" hidden="false" customHeight="false" outlineLevel="0" collapsed="false">
      <c r="A17" s="42" t="n">
        <v>46266</v>
      </c>
      <c r="B17" s="43" t="n">
        <f aca="false">$B$5</f>
        <v>127</v>
      </c>
      <c r="C17" s="18"/>
      <c r="D17" s="18"/>
      <c r="E17" s="44" t="n">
        <f aca="false">IF(ISBLANK(C17),B17,C17)+IF(ISBLANK(D17),0,D17)+IF(A17&gt;=DATE(2027,2,1),96.24,0)+IF(A17&gt;=DATE(2027,3,1),18.17,0)+IF(J16&lt;=0,$B$7,0)+IF(G16&lt;=0,$B$9,0)+IF(H16&lt;=0,$B$8,0)</f>
        <v>127</v>
      </c>
      <c r="F17" s="17" t="n">
        <f aca="false">MAX(0,F16-(E17-N17))</f>
        <v>614.45</v>
      </c>
      <c r="G17" s="17" t="n">
        <f aca="false">MAX(0,G16-$B$9-MAX(0,(E17-N17)-F16))</f>
        <v>1245</v>
      </c>
      <c r="H17" s="17" t="n">
        <f aca="false">MAX(0,H16-$B$8-MAX(0,(E17-N17)-F16-G16))</f>
        <v>1533.4</v>
      </c>
      <c r="I17" s="17" t="n">
        <f aca="false">$B$11-L17</f>
        <v>250</v>
      </c>
      <c r="J17" s="17" t="n">
        <f aca="false">MAX(0,J16*(1+$B$6/12)-IF(J16&gt;0,$B$7,0)-MAX(0,M17-(L17-(L16+N17))))</f>
        <v>9289.24532678217</v>
      </c>
      <c r="K17" s="45" t="str">
        <f aca="false">IF(AND(F17=0,G17=0,H17=0,I17&lt;=0,J17=0),"✓","")</f>
        <v/>
      </c>
      <c r="L17" s="46" t="n">
        <f aca="false">MIN($B$11,L16+N17+M17)</f>
        <v>500</v>
      </c>
      <c r="M17" s="46" t="n">
        <f aca="false">MAX(0,(E17-N17)-F16-G16-MAX(0,H16-$B$8))</f>
        <v>0</v>
      </c>
      <c r="N17" s="46" t="n">
        <f aca="false">MIN(E17,MAX(0,$B$10-L16))</f>
        <v>4</v>
      </c>
    </row>
    <row r="18" customFormat="false" ht="15" hidden="false" customHeight="false" outlineLevel="0" collapsed="false">
      <c r="A18" s="42" t="n">
        <v>46296</v>
      </c>
      <c r="B18" s="43" t="n">
        <f aca="false">$B$5</f>
        <v>127</v>
      </c>
      <c r="C18" s="18"/>
      <c r="D18" s="18"/>
      <c r="E18" s="44" t="n">
        <f aca="false">IF(ISBLANK(C18),B18,C18)+IF(ISBLANK(D18),0,D18)+IF(A18&gt;=DATE(2027,2,1),96.24,0)+IF(A18&gt;=DATE(2027,3,1),18.17,0)+IF(J17&lt;=0,$B$7,0)+IF(G17&lt;=0,$B$9,0)+IF(H17&lt;=0,$B$8,0)</f>
        <v>127</v>
      </c>
      <c r="F18" s="17" t="n">
        <f aca="false">MAX(0,F17-(E18-N18))</f>
        <v>487.45</v>
      </c>
      <c r="G18" s="17" t="n">
        <f aca="false">MAX(0,G17-$B$9-MAX(0,(E18-N18)-F17))</f>
        <v>1220</v>
      </c>
      <c r="H18" s="17" t="n">
        <f aca="false">MAX(0,H17-$B$8-MAX(0,(E18-N18)-F17-G17))</f>
        <v>1513.4</v>
      </c>
      <c r="I18" s="17" t="n">
        <f aca="false">$B$11-L18</f>
        <v>250</v>
      </c>
      <c r="J18" s="17" t="n">
        <f aca="false">MAX(0,J17*(1+$B$6/12)-IF(J17&gt;0,$B$7,0)-MAX(0,M18-(L18-(L17+N18))))</f>
        <v>9172.0302798567</v>
      </c>
      <c r="K18" s="45" t="str">
        <f aca="false">IF(AND(F18=0,G18=0,H18=0,I18&lt;=0,J18=0),"✓","")</f>
        <v/>
      </c>
      <c r="L18" s="46" t="n">
        <f aca="false">MIN($B$11,L17+N18+M18)</f>
        <v>500</v>
      </c>
      <c r="M18" s="46" t="n">
        <f aca="false">MAX(0,(E18-N18)-F17-G17-MAX(0,H17-$B$8))</f>
        <v>0</v>
      </c>
      <c r="N18" s="46" t="n">
        <f aca="false">MIN(E18,MAX(0,$B$10-L17))</f>
        <v>0</v>
      </c>
    </row>
    <row r="19" customFormat="false" ht="15" hidden="false" customHeight="false" outlineLevel="0" collapsed="false">
      <c r="A19" s="42" t="n">
        <v>46327</v>
      </c>
      <c r="B19" s="43" t="n">
        <f aca="false">$B$5</f>
        <v>127</v>
      </c>
      <c r="C19" s="18"/>
      <c r="D19" s="18"/>
      <c r="E19" s="44" t="n">
        <f aca="false">IF(ISBLANK(C19),B19,C19)+IF(ISBLANK(D19),0,D19)+IF(A19&gt;=DATE(2027,2,1),96.24,0)+IF(A19&gt;=DATE(2027,3,1),18.17,0)+IF(J18&lt;=0,$B$7,0)+IF(G18&lt;=0,$B$9,0)+IF(H18&lt;=0,$B$8,0)</f>
        <v>127</v>
      </c>
      <c r="F19" s="17" t="n">
        <f aca="false">MAX(0,F18-(E19-N19))</f>
        <v>360.45</v>
      </c>
      <c r="G19" s="17" t="n">
        <f aca="false">MAX(0,G18-$B$9-MAX(0,(E19-N19)-F18))</f>
        <v>1195</v>
      </c>
      <c r="H19" s="17" t="n">
        <f aca="false">MAX(0,H18-$B$8-MAX(0,(E19-N19)-F18-G18))</f>
        <v>1493.4</v>
      </c>
      <c r="I19" s="17" t="n">
        <f aca="false">$B$11-L19</f>
        <v>250</v>
      </c>
      <c r="J19" s="17" t="n">
        <f aca="false">MAX(0,J18*(1+$B$6/12)-IF(J18&gt;0,$B$7,0)-MAX(0,M19-(L19-(L18+N19))))</f>
        <v>9054.16078225257</v>
      </c>
      <c r="K19" s="45" t="str">
        <f aca="false">IF(AND(F19=0,G19=0,H19=0,I19&lt;=0,J19=0),"✓","")</f>
        <v/>
      </c>
      <c r="L19" s="46" t="n">
        <f aca="false">MIN($B$11,L18+N19+M19)</f>
        <v>500</v>
      </c>
      <c r="M19" s="46" t="n">
        <f aca="false">MAX(0,(E19-N19)-F18-G18-MAX(0,H18-$B$8))</f>
        <v>0</v>
      </c>
      <c r="N19" s="46" t="n">
        <f aca="false">MIN(E19,MAX(0,$B$10-L18))</f>
        <v>0</v>
      </c>
    </row>
    <row r="20" customFormat="false" ht="15" hidden="false" customHeight="false" outlineLevel="0" collapsed="false">
      <c r="A20" s="42" t="n">
        <v>46357</v>
      </c>
      <c r="B20" s="43" t="n">
        <f aca="false">$B$5</f>
        <v>127</v>
      </c>
      <c r="C20" s="18"/>
      <c r="D20" s="18"/>
      <c r="E20" s="44" t="n">
        <f aca="false">IF(ISBLANK(C20),B20,C20)+IF(ISBLANK(D20),0,D20)+IF(A20&gt;=DATE(2027,2,1),96.24,0)+IF(A20&gt;=DATE(2027,3,1),18.17,0)+IF(J19&lt;=0,$B$7,0)+IF(G19&lt;=0,$B$9,0)+IF(H19&lt;=0,$B$8,0)</f>
        <v>127</v>
      </c>
      <c r="F20" s="17" t="n">
        <f aca="false">MAX(0,F19-(E20-N20))</f>
        <v>233.45</v>
      </c>
      <c r="G20" s="17" t="n">
        <f aca="false">MAX(0,G19-$B$9-MAX(0,(E20-N20)-F19))</f>
        <v>1170</v>
      </c>
      <c r="H20" s="17" t="n">
        <f aca="false">MAX(0,H19-$B$8-MAX(0,(E20-N20)-F19-G19))</f>
        <v>1473.4</v>
      </c>
      <c r="I20" s="17" t="n">
        <f aca="false">$B$11-L20</f>
        <v>250</v>
      </c>
      <c r="J20" s="17" t="n">
        <f aca="false">MAX(0,J19*(1+$B$6/12)-IF(J19&gt;0,$B$7,0)-MAX(0,M20-(L20-(L19+N20))))</f>
        <v>8935.63317995348</v>
      </c>
      <c r="K20" s="45" t="str">
        <f aca="false">IF(AND(F20=0,G20=0,H20=0,I20&lt;=0,J20=0),"✓","")</f>
        <v/>
      </c>
      <c r="L20" s="46" t="n">
        <f aca="false">MIN($B$11,L19+N20+M20)</f>
        <v>500</v>
      </c>
      <c r="M20" s="46" t="n">
        <f aca="false">MAX(0,(E20-N20)-F19-G19-MAX(0,H19-$B$8))</f>
        <v>0</v>
      </c>
      <c r="N20" s="46" t="n">
        <f aca="false">MIN(E20,MAX(0,$B$10-L19))</f>
        <v>0</v>
      </c>
    </row>
    <row r="21" customFormat="false" ht="15" hidden="false" customHeight="false" outlineLevel="0" collapsed="false">
      <c r="A21" s="42" t="n">
        <v>46388</v>
      </c>
      <c r="B21" s="43" t="n">
        <f aca="false">$B$5</f>
        <v>127</v>
      </c>
      <c r="C21" s="18"/>
      <c r="D21" s="18"/>
      <c r="E21" s="44" t="n">
        <f aca="false">IF(ISBLANK(C21),B21,C21)+IF(ISBLANK(D21),0,D21)+IF(A21&gt;=DATE(2027,2,1),96.24,0)+IF(A21&gt;=DATE(2027,3,1),18.17,0)+IF(J20&lt;=0,$B$7,0)+IF(G20&lt;=0,$B$9,0)+IF(H20&lt;=0,$B$8,0)</f>
        <v>127</v>
      </c>
      <c r="F21" s="17" t="n">
        <f aca="false">MAX(0,F20-(E21-N21))</f>
        <v>106.45</v>
      </c>
      <c r="G21" s="17" t="n">
        <f aca="false">MAX(0,G20-$B$9-MAX(0,(E21-N21)-F20))</f>
        <v>1145</v>
      </c>
      <c r="H21" s="17" t="n">
        <f aca="false">MAX(0,H20-$B$8-MAX(0,(E21-N21)-F20-G20))</f>
        <v>1453.4</v>
      </c>
      <c r="I21" s="17" t="n">
        <f aca="false">$B$11-L21</f>
        <v>250</v>
      </c>
      <c r="J21" s="17" t="n">
        <f aca="false">MAX(0,J20*(1+$B$6/12)-IF(J20&gt;0,$B$7,0)-MAX(0,M21-(L21-(L20+N21))))</f>
        <v>8816.44379854155</v>
      </c>
      <c r="K21" s="45" t="str">
        <f aca="false">IF(AND(F21=0,G21=0,H21=0,I21&lt;=0,J21=0),"✓","")</f>
        <v/>
      </c>
      <c r="L21" s="46" t="n">
        <f aca="false">MIN($B$11,L20+N21+M21)</f>
        <v>500</v>
      </c>
      <c r="M21" s="46" t="n">
        <f aca="false">MAX(0,(E21-N21)-F20-G20-MAX(0,H20-$B$8))</f>
        <v>0</v>
      </c>
      <c r="N21" s="46" t="n">
        <f aca="false">MIN(E21,MAX(0,$B$10-L20))</f>
        <v>0</v>
      </c>
    </row>
    <row r="22" customFormat="false" ht="15" hidden="false" customHeight="false" outlineLevel="0" collapsed="false">
      <c r="A22" s="42" t="n">
        <v>46419</v>
      </c>
      <c r="B22" s="43" t="n">
        <f aca="false">$B$5</f>
        <v>127</v>
      </c>
      <c r="C22" s="18"/>
      <c r="D22" s="18"/>
      <c r="E22" s="44" t="n">
        <f aca="false">IF(ISBLANK(C22),B22,C22)+IF(ISBLANK(D22),0,D22)+IF(A22&gt;=DATE(2027,2,1),96.24,0)+IF(A22&gt;=DATE(2027,3,1),18.17,0)+IF(J21&lt;=0,$B$7,0)+IF(G21&lt;=0,$B$9,0)+IF(H21&lt;=0,$B$8,0)</f>
        <v>223.24</v>
      </c>
      <c r="F22" s="17" t="n">
        <f aca="false">MAX(0,F21-(E22-N22))</f>
        <v>0</v>
      </c>
      <c r="G22" s="17" t="n">
        <f aca="false">MAX(0,G21-$B$9-MAX(0,(E22-N22)-F21))</f>
        <v>1003.21</v>
      </c>
      <c r="H22" s="17" t="n">
        <f aca="false">MAX(0,H21-$B$8-MAX(0,(E22-N22)-F21-G21))</f>
        <v>1433.4</v>
      </c>
      <c r="I22" s="17" t="n">
        <f aca="false">$B$11-L22</f>
        <v>250</v>
      </c>
      <c r="J22" s="17" t="n">
        <f aca="false">MAX(0,J21*(1+$B$6/12)-IF(J21&gt;0,$B$7,0)-MAX(0,M22-(L22-(L21+N22))))</f>
        <v>8696.58894308341</v>
      </c>
      <c r="K22" s="45" t="str">
        <f aca="false">IF(AND(F22=0,G22=0,H22=0,I22&lt;=0,J22=0),"✓","")</f>
        <v/>
      </c>
      <c r="L22" s="46" t="n">
        <f aca="false">MIN($B$11,L21+N22+M22)</f>
        <v>500</v>
      </c>
      <c r="M22" s="46" t="n">
        <f aca="false">MAX(0,(E22-N22)-F21-G21-MAX(0,H21-$B$8))</f>
        <v>0</v>
      </c>
      <c r="N22" s="46" t="n">
        <f aca="false">MIN(E22,MAX(0,$B$10-L21))</f>
        <v>0</v>
      </c>
    </row>
    <row r="23" customFormat="false" ht="15" hidden="false" customHeight="false" outlineLevel="0" collapsed="false">
      <c r="A23" s="42" t="n">
        <v>46447</v>
      </c>
      <c r="B23" s="43" t="n">
        <f aca="false">$B$5</f>
        <v>127</v>
      </c>
      <c r="C23" s="18"/>
      <c r="D23" s="18"/>
      <c r="E23" s="44" t="n">
        <f aca="false">IF(ISBLANK(C23),B23,C23)+IF(ISBLANK(D23),0,D23)+IF(A23&gt;=DATE(2027,2,1),96.24,0)+IF(A23&gt;=DATE(2027,3,1),18.17,0)+IF(J22&lt;=0,$B$7,0)+IF(G22&lt;=0,$B$9,0)+IF(H22&lt;=0,$B$8,0)</f>
        <v>241.41</v>
      </c>
      <c r="F23" s="17" t="n">
        <f aca="false">MAX(0,F22-(E23-N23))</f>
        <v>0</v>
      </c>
      <c r="G23" s="17" t="n">
        <f aca="false">MAX(0,G22-$B$9-MAX(0,(E23-N23)-F22))</f>
        <v>736.8</v>
      </c>
      <c r="H23" s="17" t="n">
        <f aca="false">MAX(0,H22-$B$8-MAX(0,(E23-N23)-F22-G22))</f>
        <v>1413.4</v>
      </c>
      <c r="I23" s="17" t="n">
        <f aca="false">$B$11-L23</f>
        <v>250</v>
      </c>
      <c r="J23" s="17" t="n">
        <f aca="false">MAX(0,J22*(1+$B$6/12)-IF(J22&gt;0,$B$7,0)-MAX(0,M23-(L23-(L22+N23))))</f>
        <v>8576.06489801562</v>
      </c>
      <c r="K23" s="45" t="str">
        <f aca="false">IF(AND(F23=0,G23=0,H23=0,I23&lt;=0,J23=0),"✓","")</f>
        <v/>
      </c>
      <c r="L23" s="46" t="n">
        <f aca="false">MIN($B$11,L22+N23+M23)</f>
        <v>500</v>
      </c>
      <c r="M23" s="46" t="n">
        <f aca="false">MAX(0,(E23-N23)-F22-G22-MAX(0,H22-$B$8))</f>
        <v>0</v>
      </c>
      <c r="N23" s="46" t="n">
        <f aca="false">MIN(E23,MAX(0,$B$10-L22))</f>
        <v>0</v>
      </c>
    </row>
    <row r="24" customFormat="false" ht="15" hidden="false" customHeight="false" outlineLevel="0" collapsed="false">
      <c r="A24" s="42" t="n">
        <v>46478</v>
      </c>
      <c r="B24" s="43" t="n">
        <f aca="false">$B$5</f>
        <v>127</v>
      </c>
      <c r="C24" s="18"/>
      <c r="D24" s="18"/>
      <c r="E24" s="44" t="n">
        <f aca="false">IF(ISBLANK(C24),B24,C24)+IF(ISBLANK(D24),0,D24)+IF(A24&gt;=DATE(2027,2,1),96.24,0)+IF(A24&gt;=DATE(2027,3,1),18.17,0)+IF(J23&lt;=0,$B$7,0)+IF(G23&lt;=0,$B$9,0)+IF(H23&lt;=0,$B$8,0)</f>
        <v>241.41</v>
      </c>
      <c r="F24" s="17" t="n">
        <f aca="false">MAX(0,F23-(E24-N24))</f>
        <v>0</v>
      </c>
      <c r="G24" s="17" t="n">
        <f aca="false">MAX(0,G23-$B$9-MAX(0,(E24-N24)-F23))</f>
        <v>470.39</v>
      </c>
      <c r="H24" s="17" t="n">
        <f aca="false">MAX(0,H23-$B$8-MAX(0,(E24-N24)-F23-G23))</f>
        <v>1393.4</v>
      </c>
      <c r="I24" s="17" t="n">
        <f aca="false">$B$11-L24</f>
        <v>250</v>
      </c>
      <c r="J24" s="17" t="n">
        <f aca="false">MAX(0,J23*(1+$B$6/12)-IF(J23&gt;0,$B$7,0)-MAX(0,M24-(L24-(L23+N24))))</f>
        <v>8454.86792702954</v>
      </c>
      <c r="K24" s="45" t="str">
        <f aca="false">IF(AND(F24=0,G24=0,H24=0,I24&lt;=0,J24=0),"✓","")</f>
        <v/>
      </c>
      <c r="L24" s="46" t="n">
        <f aca="false">MIN($B$11,L23+N24+M24)</f>
        <v>500</v>
      </c>
      <c r="M24" s="46" t="n">
        <f aca="false">MAX(0,(E24-N24)-F23-G23-MAX(0,H23-$B$8))</f>
        <v>0</v>
      </c>
      <c r="N24" s="46" t="n">
        <f aca="false">MIN(E24,MAX(0,$B$10-L23))</f>
        <v>0</v>
      </c>
    </row>
    <row r="25" customFormat="false" ht="15" hidden="false" customHeight="false" outlineLevel="0" collapsed="false">
      <c r="A25" s="42" t="n">
        <v>46508</v>
      </c>
      <c r="B25" s="43" t="n">
        <f aca="false">$B$5</f>
        <v>127</v>
      </c>
      <c r="C25" s="18"/>
      <c r="D25" s="18"/>
      <c r="E25" s="44" t="n">
        <f aca="false">IF(ISBLANK(C25),B25,C25)+IF(ISBLANK(D25),0,D25)+IF(A25&gt;=DATE(2027,2,1),96.24,0)+IF(A25&gt;=DATE(2027,3,1),18.17,0)+IF(J24&lt;=0,$B$7,0)+IF(G24&lt;=0,$B$9,0)+IF(H24&lt;=0,$B$8,0)</f>
        <v>241.41</v>
      </c>
      <c r="F25" s="17" t="n">
        <f aca="false">MAX(0,F24-(E25-N25))</f>
        <v>0</v>
      </c>
      <c r="G25" s="17" t="n">
        <f aca="false">MAX(0,G24-$B$9-MAX(0,(E25-N25)-F24))</f>
        <v>203.98</v>
      </c>
      <c r="H25" s="17" t="n">
        <f aca="false">MAX(0,H24-$B$8-MAX(0,(E25-N25)-F24-G24))</f>
        <v>1373.4</v>
      </c>
      <c r="I25" s="17" t="n">
        <f aca="false">$B$11-L25</f>
        <v>250</v>
      </c>
      <c r="J25" s="17" t="n">
        <f aca="false">MAX(0,J24*(1+$B$6/12)-IF(J24&gt;0,$B$7,0)-MAX(0,M25-(L25-(L24+N25))))</f>
        <v>8332.99427295546</v>
      </c>
      <c r="K25" s="45" t="str">
        <f aca="false">IF(AND(F25=0,G25=0,H25=0,I25&lt;=0,J25=0),"✓","")</f>
        <v/>
      </c>
      <c r="L25" s="46" t="n">
        <f aca="false">MIN($B$11,L24+N25+M25)</f>
        <v>500</v>
      </c>
      <c r="M25" s="46" t="n">
        <f aca="false">MAX(0,(E25-N25)-F24-G24-MAX(0,H24-$B$8))</f>
        <v>0</v>
      </c>
      <c r="N25" s="46" t="n">
        <f aca="false">MIN(E25,MAX(0,$B$10-L24))</f>
        <v>0</v>
      </c>
    </row>
    <row r="26" customFormat="false" ht="15" hidden="false" customHeight="false" outlineLevel="0" collapsed="false">
      <c r="A26" s="42" t="n">
        <v>46539</v>
      </c>
      <c r="B26" s="43" t="n">
        <f aca="false">$B$5</f>
        <v>127</v>
      </c>
      <c r="C26" s="18"/>
      <c r="D26" s="18"/>
      <c r="E26" s="44" t="n">
        <f aca="false">IF(ISBLANK(C26),B26,C26)+IF(ISBLANK(D26),0,D26)+IF(A26&gt;=DATE(2027,2,1),96.24,0)+IF(A26&gt;=DATE(2027,3,1),18.17,0)+IF(J25&lt;=0,$B$7,0)+IF(G25&lt;=0,$B$9,0)+IF(H25&lt;=0,$B$8,0)</f>
        <v>241.41</v>
      </c>
      <c r="F26" s="17" t="n">
        <f aca="false">MAX(0,F25-(E26-N26))</f>
        <v>0</v>
      </c>
      <c r="G26" s="17" t="n">
        <f aca="false">MAX(0,G25-$B$9-MAX(0,(E26-N26)-F25))</f>
        <v>0</v>
      </c>
      <c r="H26" s="17" t="n">
        <f aca="false">MAX(0,H25-$B$8-MAX(0,(E26-N26)-F25-G25))</f>
        <v>1315.97</v>
      </c>
      <c r="I26" s="17" t="n">
        <f aca="false">$B$11-L26</f>
        <v>250</v>
      </c>
      <c r="J26" s="17" t="n">
        <f aca="false">MAX(0,J25*(1+$B$6/12)-IF(J25&gt;0,$B$7,0)-MAX(0,M26-(L26-(L25+N26))))</f>
        <v>8210.44015764613</v>
      </c>
      <c r="K26" s="45" t="str">
        <f aca="false">IF(AND(F26=0,G26=0,H26=0,I26&lt;=0,J26=0),"✓","")</f>
        <v/>
      </c>
      <c r="L26" s="46" t="n">
        <f aca="false">MIN($B$11,L25+N26+M26)</f>
        <v>500</v>
      </c>
      <c r="M26" s="46" t="n">
        <f aca="false">MAX(0,(E26-N26)-F25-G25-MAX(0,H25-$B$8))</f>
        <v>0</v>
      </c>
      <c r="N26" s="46" t="n">
        <f aca="false">MIN(E26,MAX(0,$B$10-L25))</f>
        <v>0</v>
      </c>
    </row>
    <row r="27" customFormat="false" ht="15" hidden="false" customHeight="false" outlineLevel="0" collapsed="false">
      <c r="A27" s="42" t="n">
        <v>46569</v>
      </c>
      <c r="B27" s="43" t="n">
        <f aca="false">$B$5</f>
        <v>127</v>
      </c>
      <c r="C27" s="18"/>
      <c r="D27" s="18"/>
      <c r="E27" s="44" t="n">
        <f aca="false">IF(ISBLANK(C27),B27,C27)+IF(ISBLANK(D27),0,D27)+IF(A27&gt;=DATE(2027,2,1),96.24,0)+IF(A27&gt;=DATE(2027,3,1),18.17,0)+IF(J26&lt;=0,$B$7,0)+IF(G26&lt;=0,$B$9,0)+IF(H26&lt;=0,$B$8,0)</f>
        <v>266.41</v>
      </c>
      <c r="F27" s="17" t="n">
        <f aca="false">MAX(0,F26-(E27-N27))</f>
        <v>0</v>
      </c>
      <c r="G27" s="17" t="n">
        <f aca="false">MAX(0,G26-$B$9-MAX(0,(E27-N27)-F26))</f>
        <v>0</v>
      </c>
      <c r="H27" s="17" t="n">
        <f aca="false">MAX(0,H26-$B$8-MAX(0,(E27-N27)-F26-G26))</f>
        <v>1029.56</v>
      </c>
      <c r="I27" s="17" t="n">
        <f aca="false">$B$11-L27</f>
        <v>250</v>
      </c>
      <c r="J27" s="17" t="n">
        <f aca="false">MAX(0,J26*(1+$B$6/12)-IF(J26&gt;0,$B$7,0)-MAX(0,M27-(L27-(L26+N27))))</f>
        <v>8087.20178185965</v>
      </c>
      <c r="K27" s="45" t="str">
        <f aca="false">IF(AND(F27=0,G27=0,H27=0,I27&lt;=0,J27=0),"✓","")</f>
        <v/>
      </c>
      <c r="L27" s="46" t="n">
        <f aca="false">MIN($B$11,L26+N27+M27)</f>
        <v>500</v>
      </c>
      <c r="M27" s="46" t="n">
        <f aca="false">MAX(0,(E27-N27)-F26-G26-MAX(0,H26-$B$8))</f>
        <v>0</v>
      </c>
      <c r="N27" s="46" t="n">
        <f aca="false">MIN(E27,MAX(0,$B$10-L26))</f>
        <v>0</v>
      </c>
    </row>
    <row r="28" customFormat="false" ht="15" hidden="false" customHeight="false" outlineLevel="0" collapsed="false">
      <c r="A28" s="42" t="n">
        <v>46600</v>
      </c>
      <c r="B28" s="43" t="n">
        <f aca="false">$B$5</f>
        <v>127</v>
      </c>
      <c r="C28" s="18"/>
      <c r="D28" s="18"/>
      <c r="E28" s="44" t="n">
        <f aca="false">IF(ISBLANK(C28),B28,C28)+IF(ISBLANK(D28),0,D28)+IF(A28&gt;=DATE(2027,2,1),96.24,0)+IF(A28&gt;=DATE(2027,3,1),18.17,0)+IF(J27&lt;=0,$B$7,0)+IF(G27&lt;=0,$B$9,0)+IF(H27&lt;=0,$B$8,0)</f>
        <v>266.41</v>
      </c>
      <c r="F28" s="17" t="n">
        <f aca="false">MAX(0,F27-(E28-N28))</f>
        <v>0</v>
      </c>
      <c r="G28" s="17" t="n">
        <f aca="false">MAX(0,G27-$B$9-MAX(0,(E28-N28)-F27))</f>
        <v>0</v>
      </c>
      <c r="H28" s="17" t="n">
        <f aca="false">MAX(0,H27-$B$8-MAX(0,(E28-N28)-F27-G27))</f>
        <v>743.15</v>
      </c>
      <c r="I28" s="17" t="n">
        <f aca="false">$B$11-L28</f>
        <v>250</v>
      </c>
      <c r="J28" s="17" t="n">
        <f aca="false">MAX(0,J27*(1+$B$6/12)-IF(J27&gt;0,$B$7,0)-MAX(0,M28-(L28-(L27+N28))))</f>
        <v>7963.2753251417</v>
      </c>
      <c r="K28" s="45" t="str">
        <f aca="false">IF(AND(F28=0,G28=0,H28=0,I28&lt;=0,J28=0),"✓","")</f>
        <v/>
      </c>
      <c r="L28" s="46" t="n">
        <f aca="false">MIN($B$11,L27+N28+M28)</f>
        <v>500</v>
      </c>
      <c r="M28" s="46" t="n">
        <f aca="false">MAX(0,(E28-N28)-F27-G27-MAX(0,H27-$B$8))</f>
        <v>0</v>
      </c>
      <c r="N28" s="46" t="n">
        <f aca="false">MIN(E28,MAX(0,$B$10-L27))</f>
        <v>0</v>
      </c>
    </row>
    <row r="29" customFormat="false" ht="15" hidden="false" customHeight="false" outlineLevel="0" collapsed="false">
      <c r="A29" s="42" t="n">
        <v>46631</v>
      </c>
      <c r="B29" s="43" t="n">
        <f aca="false">$B$5</f>
        <v>127</v>
      </c>
      <c r="C29" s="18"/>
      <c r="D29" s="18"/>
      <c r="E29" s="44" t="n">
        <f aca="false">IF(ISBLANK(C29),B29,C29)+IF(ISBLANK(D29),0,D29)+IF(A29&gt;=DATE(2027,2,1),96.24,0)+IF(A29&gt;=DATE(2027,3,1),18.17,0)+IF(J28&lt;=0,$B$7,0)+IF(G28&lt;=0,$B$9,0)+IF(H28&lt;=0,$B$8,0)</f>
        <v>266.41</v>
      </c>
      <c r="F29" s="17" t="n">
        <f aca="false">MAX(0,F28-(E29-N29))</f>
        <v>0</v>
      </c>
      <c r="G29" s="17" t="n">
        <f aca="false">MAX(0,G28-$B$9-MAX(0,(E29-N29)-F28))</f>
        <v>0</v>
      </c>
      <c r="H29" s="17" t="n">
        <f aca="false">MAX(0,H28-$B$8-MAX(0,(E29-N29)-F28-G28))</f>
        <v>456.74</v>
      </c>
      <c r="I29" s="17" t="n">
        <f aca="false">$B$11-L29</f>
        <v>250</v>
      </c>
      <c r="J29" s="17" t="n">
        <f aca="false">MAX(0,J28*(1+$B$6/12)-IF(J28&gt;0,$B$7,0)-MAX(0,M29-(L29-(L28+N29))))</f>
        <v>7838.65694570707</v>
      </c>
      <c r="K29" s="45" t="str">
        <f aca="false">IF(AND(F29=0,G29=0,H29=0,I29&lt;=0,J29=0),"✓","")</f>
        <v/>
      </c>
      <c r="L29" s="46" t="n">
        <f aca="false">MIN($B$11,L28+N29+M29)</f>
        <v>500</v>
      </c>
      <c r="M29" s="46" t="n">
        <f aca="false">MAX(0,(E29-N29)-F28-G28-MAX(0,H28-$B$8))</f>
        <v>0</v>
      </c>
      <c r="N29" s="46" t="n">
        <f aca="false">MIN(E29,MAX(0,$B$10-L28))</f>
        <v>0</v>
      </c>
    </row>
    <row r="30" customFormat="false" ht="15" hidden="false" customHeight="false" outlineLevel="0" collapsed="false">
      <c r="A30" s="42" t="n">
        <v>46661</v>
      </c>
      <c r="B30" s="43" t="n">
        <f aca="false">$B$5</f>
        <v>127</v>
      </c>
      <c r="C30" s="18"/>
      <c r="D30" s="18"/>
      <c r="E30" s="44" t="n">
        <f aca="false">IF(ISBLANK(C30),B30,C30)+IF(ISBLANK(D30),0,D30)+IF(A30&gt;=DATE(2027,2,1),96.24,0)+IF(A30&gt;=DATE(2027,3,1),18.17,0)+IF(J29&lt;=0,$B$7,0)+IF(G29&lt;=0,$B$9,0)+IF(H29&lt;=0,$B$8,0)</f>
        <v>266.41</v>
      </c>
      <c r="F30" s="17" t="n">
        <f aca="false">MAX(0,F29-(E30-N30))</f>
        <v>0</v>
      </c>
      <c r="G30" s="17" t="n">
        <f aca="false">MAX(0,G29-$B$9-MAX(0,(E30-N30)-F29))</f>
        <v>0</v>
      </c>
      <c r="H30" s="17" t="n">
        <f aca="false">MAX(0,H29-$B$8-MAX(0,(E30-N30)-F29-G29))</f>
        <v>170.33</v>
      </c>
      <c r="I30" s="17" t="n">
        <f aca="false">$B$11-L30</f>
        <v>250</v>
      </c>
      <c r="J30" s="17" t="n">
        <f aca="false">MAX(0,J29*(1+$B$6/12)-IF(J29&gt;0,$B$7,0)-MAX(0,M30-(L30-(L29+N30))))</f>
        <v>7713.3427803206</v>
      </c>
      <c r="K30" s="45" t="str">
        <f aca="false">IF(AND(F30=0,G30=0,H30=0,I30&lt;=0,J30=0),"✓","")</f>
        <v/>
      </c>
      <c r="L30" s="46" t="n">
        <f aca="false">MIN($B$11,L29+N30+M30)</f>
        <v>500</v>
      </c>
      <c r="M30" s="46" t="n">
        <f aca="false">MAX(0,(E30-N30)-F29-G29-MAX(0,H29-$B$8))</f>
        <v>0</v>
      </c>
      <c r="N30" s="46" t="n">
        <f aca="false">MIN(E30,MAX(0,$B$10-L29))</f>
        <v>0</v>
      </c>
    </row>
    <row r="31" customFormat="false" ht="15" hidden="false" customHeight="false" outlineLevel="0" collapsed="false">
      <c r="A31" s="42" t="n">
        <v>46692</v>
      </c>
      <c r="B31" s="43" t="n">
        <f aca="false">$B$5</f>
        <v>127</v>
      </c>
      <c r="C31" s="18"/>
      <c r="D31" s="18"/>
      <c r="E31" s="44" t="n">
        <f aca="false">IF(ISBLANK(C31),B31,C31)+IF(ISBLANK(D31),0,D31)+IF(A31&gt;=DATE(2027,2,1),96.24,0)+IF(A31&gt;=DATE(2027,3,1),18.17,0)+IF(J30&lt;=0,$B$7,0)+IF(G30&lt;=0,$B$9,0)+IF(H30&lt;=0,$B$8,0)</f>
        <v>266.41</v>
      </c>
      <c r="F31" s="17" t="n">
        <f aca="false">MAX(0,F30-(E31-N31))</f>
        <v>0</v>
      </c>
      <c r="G31" s="17" t="n">
        <f aca="false">MAX(0,G30-$B$9-MAX(0,(E31-N31)-F30))</f>
        <v>0</v>
      </c>
      <c r="H31" s="17" t="n">
        <f aca="false">MAX(0,H30-$B$8-MAX(0,(E31-N31)-F30-G30))</f>
        <v>0</v>
      </c>
      <c r="I31" s="17" t="n">
        <f aca="false">$B$11-L31</f>
        <v>133.92</v>
      </c>
      <c r="J31" s="17" t="n">
        <f aca="false">MAX(0,J30*(1+$B$6/12)-IF(J30&gt;0,$B$7,0)-MAX(0,M31-(L31-(L30+N31))))</f>
        <v>7587.32894417739</v>
      </c>
      <c r="K31" s="45" t="str">
        <f aca="false">IF(AND(F31=0,G31=0,H31=0,I31&lt;=0,J31=0),"✓","")</f>
        <v/>
      </c>
      <c r="L31" s="46" t="n">
        <f aca="false">MIN($B$11,L30+N31+M31)</f>
        <v>616.08</v>
      </c>
      <c r="M31" s="46" t="n">
        <f aca="false">MAX(0,(E31-N31)-F30-G30-MAX(0,H30-$B$8))</f>
        <v>116.08</v>
      </c>
      <c r="N31" s="46" t="n">
        <f aca="false">MIN(E31,MAX(0,$B$10-L30))</f>
        <v>0</v>
      </c>
    </row>
    <row r="32" customFormat="false" ht="15" hidden="false" customHeight="false" outlineLevel="0" collapsed="false">
      <c r="A32" s="42" t="n">
        <v>46722</v>
      </c>
      <c r="B32" s="43" t="n">
        <f aca="false">$B$5</f>
        <v>127</v>
      </c>
      <c r="C32" s="18"/>
      <c r="D32" s="18"/>
      <c r="E32" s="44" t="n">
        <f aca="false">IF(ISBLANK(C32),B32,C32)+IF(ISBLANK(D32),0,D32)+IF(A32&gt;=DATE(2027,2,1),96.24,0)+IF(A32&gt;=DATE(2027,3,1),18.17,0)+IF(J31&lt;=0,$B$7,0)+IF(G31&lt;=0,$B$9,0)+IF(H31&lt;=0,$B$8,0)</f>
        <v>286.41</v>
      </c>
      <c r="F32" s="17" t="n">
        <f aca="false">MAX(0,F31-(E32-N32))</f>
        <v>0</v>
      </c>
      <c r="G32" s="17" t="n">
        <f aca="false">MAX(0,G31-$B$9-MAX(0,(E32-N32)-F31))</f>
        <v>0</v>
      </c>
      <c r="H32" s="17" t="n">
        <f aca="false">MAX(0,H31-$B$8-MAX(0,(E32-N32)-F31-G31))</f>
        <v>0</v>
      </c>
      <c r="I32" s="17" t="n">
        <f aca="false">$B$11-L32</f>
        <v>0</v>
      </c>
      <c r="J32" s="17" t="n">
        <f aca="false">MAX(0,J31*(1+$B$6/12)-IF(J31&gt;0,$B$7,0)-MAX(0,M32-(L32-(L31+N32))))</f>
        <v>7308.12153078238</v>
      </c>
      <c r="K32" s="45" t="str">
        <f aca="false">IF(AND(F32=0,G32=0,H32=0,I32&lt;=0,J32=0),"✓","")</f>
        <v/>
      </c>
      <c r="L32" s="46" t="n">
        <f aca="false">MIN($B$11,L31+N32+M32)</f>
        <v>750</v>
      </c>
      <c r="M32" s="46" t="n">
        <f aca="false">MAX(0,(E32-N32)-F31-G31-MAX(0,H31-$B$8))</f>
        <v>286.41</v>
      </c>
      <c r="N32" s="46" t="n">
        <f aca="false">MIN(E32,MAX(0,$B$10-L31))</f>
        <v>0</v>
      </c>
    </row>
    <row r="33" customFormat="false" ht="15" hidden="false" customHeight="false" outlineLevel="0" collapsed="false">
      <c r="A33" s="42" t="n">
        <v>46753</v>
      </c>
      <c r="B33" s="43" t="n">
        <f aca="false">$B$5</f>
        <v>127</v>
      </c>
      <c r="C33" s="18"/>
      <c r="D33" s="18"/>
      <c r="E33" s="44" t="n">
        <f aca="false">IF(ISBLANK(C33),B33,C33)+IF(ISBLANK(D33),0,D33)+IF(A33&gt;=DATE(2027,2,1),96.24,0)+IF(A33&gt;=DATE(2027,3,1),18.17,0)+IF(J32&lt;=0,$B$7,0)+IF(G32&lt;=0,$B$9,0)+IF(H32&lt;=0,$B$8,0)</f>
        <v>286.41</v>
      </c>
      <c r="F33" s="17" t="n">
        <f aca="false">MAX(0,F32-(E33-N33))</f>
        <v>0</v>
      </c>
      <c r="G33" s="17" t="n">
        <f aca="false">MAX(0,G32-$B$9-MAX(0,(E33-N33)-F32))</f>
        <v>0</v>
      </c>
      <c r="H33" s="17" t="n">
        <f aca="false">MAX(0,H32-$B$8-MAX(0,(E33-N33)-F32-G32))</f>
        <v>0</v>
      </c>
      <c r="I33" s="17" t="n">
        <f aca="false">$B$11-L33</f>
        <v>0</v>
      </c>
      <c r="J33" s="17" t="n">
        <f aca="false">MAX(0,J32*(1+$B$6/12)-IF(J32&gt;0,$B$7,0)-MAX(0,M33-(L33-(L32+N33))))</f>
        <v>6893.43520932925</v>
      </c>
      <c r="K33" s="45" t="str">
        <f aca="false">IF(AND(F33=0,G33=0,H33=0,I33&lt;=0,J33=0),"✓","")</f>
        <v/>
      </c>
      <c r="L33" s="46" t="n">
        <f aca="false">MIN($B$11,L32+N33+M33)</f>
        <v>750</v>
      </c>
      <c r="M33" s="46" t="n">
        <f aca="false">MAX(0,(E33-N33)-F32-G32-MAX(0,H32-$B$8))</f>
        <v>286.41</v>
      </c>
      <c r="N33" s="46" t="n">
        <f aca="false">MIN(E33,MAX(0,$B$10-L32))</f>
        <v>0</v>
      </c>
    </row>
    <row r="34" customFormat="false" ht="15" hidden="false" customHeight="false" outlineLevel="0" collapsed="false">
      <c r="A34" s="42" t="n">
        <v>46784</v>
      </c>
      <c r="B34" s="43" t="n">
        <f aca="false">$B$5</f>
        <v>127</v>
      </c>
      <c r="C34" s="18"/>
      <c r="D34" s="18"/>
      <c r="E34" s="44" t="n">
        <f aca="false">IF(ISBLANK(C34),B34,C34)+IF(ISBLANK(D34),0,D34)+IF(A34&gt;=DATE(2027,2,1),96.24,0)+IF(A34&gt;=DATE(2027,3,1),18.17,0)+IF(J33&lt;=0,$B$7,0)+IF(G33&lt;=0,$B$9,0)+IF(H33&lt;=0,$B$8,0)</f>
        <v>286.41</v>
      </c>
      <c r="F34" s="17" t="n">
        <f aca="false">MAX(0,F33-(E34-N34))</f>
        <v>0</v>
      </c>
      <c r="G34" s="17" t="n">
        <f aca="false">MAX(0,G33-$B$9-MAX(0,(E34-N34)-F33))</f>
        <v>0</v>
      </c>
      <c r="H34" s="17" t="n">
        <f aca="false">MAX(0,H33-$B$8-MAX(0,(E34-N34)-F33-G33))</f>
        <v>0</v>
      </c>
      <c r="I34" s="17" t="n">
        <f aca="false">$B$11-L34</f>
        <v>0</v>
      </c>
      <c r="J34" s="17" t="n">
        <f aca="false">MAX(0,J33*(1+$B$6/12)-IF(J33&gt;0,$B$7,0)-MAX(0,M34-(L34-(L33+N34))))</f>
        <v>6476.43355591467</v>
      </c>
      <c r="K34" s="45" t="str">
        <f aca="false">IF(AND(F34=0,G34=0,H34=0,I34&lt;=0,J34=0),"✓","")</f>
        <v/>
      </c>
      <c r="L34" s="46" t="n">
        <f aca="false">MIN($B$11,L33+N34+M34)</f>
        <v>750</v>
      </c>
      <c r="M34" s="46" t="n">
        <f aca="false">MAX(0,(E34-N34)-F33-G33-MAX(0,H33-$B$8))</f>
        <v>286.41</v>
      </c>
      <c r="N34" s="46" t="n">
        <f aca="false">MIN(E34,MAX(0,$B$10-L33))</f>
        <v>0</v>
      </c>
    </row>
    <row r="35" customFormat="false" ht="15" hidden="false" customHeight="false" outlineLevel="0" collapsed="false">
      <c r="A35" s="42" t="n">
        <v>46813</v>
      </c>
      <c r="B35" s="43" t="n">
        <f aca="false">$B$5</f>
        <v>127</v>
      </c>
      <c r="C35" s="18"/>
      <c r="D35" s="18"/>
      <c r="E35" s="44" t="n">
        <f aca="false">IF(ISBLANK(C35),B35,C35)+IF(ISBLANK(D35),0,D35)+IF(A35&gt;=DATE(2027,2,1),96.24,0)+IF(A35&gt;=DATE(2027,3,1),18.17,0)+IF(J34&lt;=0,$B$7,0)+IF(G34&lt;=0,$B$9,0)+IF(H34&lt;=0,$B$8,0)</f>
        <v>286.41</v>
      </c>
      <c r="F35" s="17" t="n">
        <f aca="false">MAX(0,F34-(E35-N35))</f>
        <v>0</v>
      </c>
      <c r="G35" s="17" t="n">
        <f aca="false">MAX(0,G34-$B$9-MAX(0,(E35-N35)-F34))</f>
        <v>0</v>
      </c>
      <c r="H35" s="17" t="n">
        <f aca="false">MAX(0,H34-$B$8-MAX(0,(E35-N35)-F34-G34))</f>
        <v>0</v>
      </c>
      <c r="I35" s="17" t="n">
        <f aca="false">$B$11-L35</f>
        <v>0</v>
      </c>
      <c r="J35" s="17" t="n">
        <f aca="false">MAX(0,J34*(1+$B$6/12)-IF(J34&gt;0,$B$7,0)-MAX(0,M35-(L35-(L34+N35))))</f>
        <v>6057.10364326853</v>
      </c>
      <c r="K35" s="45" t="str">
        <f aca="false">IF(AND(F35=0,G35=0,H35=0,I35&lt;=0,J35=0),"✓","")</f>
        <v/>
      </c>
      <c r="L35" s="46" t="n">
        <f aca="false">MIN($B$11,L34+N35+M35)</f>
        <v>750</v>
      </c>
      <c r="M35" s="46" t="n">
        <f aca="false">MAX(0,(E35-N35)-F34-G34-MAX(0,H34-$B$8))</f>
        <v>286.41</v>
      </c>
      <c r="N35" s="46" t="n">
        <f aca="false">MIN(E35,MAX(0,$B$10-L34))</f>
        <v>0</v>
      </c>
    </row>
    <row r="36" customFormat="false" ht="15" hidden="false" customHeight="false" outlineLevel="0" collapsed="false">
      <c r="A36" s="42" t="n">
        <v>46844</v>
      </c>
      <c r="B36" s="43" t="n">
        <f aca="false">$B$5</f>
        <v>127</v>
      </c>
      <c r="C36" s="18"/>
      <c r="D36" s="18"/>
      <c r="E36" s="44" t="n">
        <f aca="false">IF(ISBLANK(C36),B36,C36)+IF(ISBLANK(D36),0,D36)+IF(A36&gt;=DATE(2027,2,1),96.24,0)+IF(A36&gt;=DATE(2027,3,1),18.17,0)+IF(J35&lt;=0,$B$7,0)+IF(G35&lt;=0,$B$9,0)+IF(H35&lt;=0,$B$8,0)</f>
        <v>286.41</v>
      </c>
      <c r="F36" s="17" t="n">
        <f aca="false">MAX(0,F35-(E36-N36))</f>
        <v>0</v>
      </c>
      <c r="G36" s="17" t="n">
        <f aca="false">MAX(0,G35-$B$9-MAX(0,(E36-N36)-F35))</f>
        <v>0</v>
      </c>
      <c r="H36" s="17" t="n">
        <f aca="false">MAX(0,H35-$B$8-MAX(0,(E36-N36)-F35-G35))</f>
        <v>0</v>
      </c>
      <c r="I36" s="17" t="n">
        <f aca="false">$B$11-L36</f>
        <v>0</v>
      </c>
      <c r="J36" s="17" t="n">
        <f aca="false">MAX(0,J35*(1+$B$6/12)-IF(J35&gt;0,$B$7,0)-MAX(0,M36-(L36-(L35+N36))))</f>
        <v>5635.43247194345</v>
      </c>
      <c r="K36" s="45" t="str">
        <f aca="false">IF(AND(F36=0,G36=0,H36=0,I36&lt;=0,J36=0),"✓","")</f>
        <v/>
      </c>
      <c r="L36" s="46" t="n">
        <f aca="false">MIN($B$11,L35+N36+M36)</f>
        <v>750</v>
      </c>
      <c r="M36" s="46" t="n">
        <f aca="false">MAX(0,(E36-N36)-F35-G35-MAX(0,H35-$B$8))</f>
        <v>286.41</v>
      </c>
      <c r="N36" s="46" t="n">
        <f aca="false">MIN(E36,MAX(0,$B$10-L35))</f>
        <v>0</v>
      </c>
    </row>
    <row r="37" customFormat="false" ht="15" hidden="false" customHeight="false" outlineLevel="0" collapsed="false">
      <c r="A37" s="42" t="n">
        <v>46874</v>
      </c>
      <c r="B37" s="43" t="n">
        <f aca="false">$B$5</f>
        <v>127</v>
      </c>
      <c r="C37" s="18"/>
      <c r="D37" s="18"/>
      <c r="E37" s="44" t="n">
        <f aca="false">IF(ISBLANK(C37),B37,C37)+IF(ISBLANK(D37),0,D37)+IF(A37&gt;=DATE(2027,2,1),96.24,0)+IF(A37&gt;=DATE(2027,3,1),18.17,0)+IF(J36&lt;=0,$B$7,0)+IF(G36&lt;=0,$B$9,0)+IF(H36&lt;=0,$B$8,0)</f>
        <v>286.41</v>
      </c>
      <c r="F37" s="17" t="n">
        <f aca="false">MAX(0,F36-(E37-N37))</f>
        <v>0</v>
      </c>
      <c r="G37" s="17" t="n">
        <f aca="false">MAX(0,G36-$B$9-MAX(0,(E37-N37)-F36))</f>
        <v>0</v>
      </c>
      <c r="H37" s="17" t="n">
        <f aca="false">MAX(0,H36-$B$8-MAX(0,(E37-N37)-F36-G36))</f>
        <v>0</v>
      </c>
      <c r="I37" s="17" t="n">
        <f aca="false">$B$11-L37</f>
        <v>0</v>
      </c>
      <c r="J37" s="17" t="n">
        <f aca="false">MAX(0,J36*(1+$B$6/12)-IF(J36&gt;0,$B$7,0)-MAX(0,M37-(L37-(L36+N37))))</f>
        <v>5211.4069699118</v>
      </c>
      <c r="K37" s="45" t="str">
        <f aca="false">IF(AND(F37=0,G37=0,H37=0,I37&lt;=0,J37=0),"✓","")</f>
        <v/>
      </c>
      <c r="L37" s="46" t="n">
        <f aca="false">MIN($B$11,L36+N37+M37)</f>
        <v>750</v>
      </c>
      <c r="M37" s="46" t="n">
        <f aca="false">MAX(0,(E37-N37)-F36-G36-MAX(0,H36-$B$8))</f>
        <v>286.41</v>
      </c>
      <c r="N37" s="46" t="n">
        <f aca="false">MIN(E37,MAX(0,$B$10-L36))</f>
        <v>0</v>
      </c>
    </row>
    <row r="38" customFormat="false" ht="15" hidden="false" customHeight="false" outlineLevel="0" collapsed="false">
      <c r="A38" s="42" t="n">
        <v>46905</v>
      </c>
      <c r="B38" s="43" t="n">
        <f aca="false">$B$5</f>
        <v>127</v>
      </c>
      <c r="C38" s="18"/>
      <c r="D38" s="18"/>
      <c r="E38" s="44" t="n">
        <f aca="false">IF(ISBLANK(C38),B38,C38)+IF(ISBLANK(D38),0,D38)+IF(A38&gt;=DATE(2027,2,1),96.24,0)+IF(A38&gt;=DATE(2027,3,1),18.17,0)+IF(J37&lt;=0,$B$7,0)+IF(G37&lt;=0,$B$9,0)+IF(H37&lt;=0,$B$8,0)</f>
        <v>286.41</v>
      </c>
      <c r="F38" s="17" t="n">
        <f aca="false">MAX(0,F37-(E38-N38))</f>
        <v>0</v>
      </c>
      <c r="G38" s="17" t="n">
        <f aca="false">MAX(0,G37-$B$9-MAX(0,(E38-N38)-F37))</f>
        <v>0</v>
      </c>
      <c r="H38" s="17" t="n">
        <f aca="false">MAX(0,H37-$B$8-MAX(0,(E38-N38)-F37-G37))</f>
        <v>0</v>
      </c>
      <c r="I38" s="17" t="n">
        <f aca="false">$B$11-L38</f>
        <v>0</v>
      </c>
      <c r="J38" s="17" t="n">
        <f aca="false">MAX(0,J37*(1+$B$6/12)-IF(J37&gt;0,$B$7,0)-MAX(0,M38-(L38-(L37+N38))))</f>
        <v>4785.01399216047</v>
      </c>
      <c r="K38" s="45" t="str">
        <f aca="false">IF(AND(F38=0,G38=0,H38=0,I38&lt;=0,J38=0),"✓","")</f>
        <v/>
      </c>
      <c r="L38" s="46" t="n">
        <f aca="false">MIN($B$11,L37+N38+M38)</f>
        <v>750</v>
      </c>
      <c r="M38" s="46" t="n">
        <f aca="false">MAX(0,(E38-N38)-F37-G37-MAX(0,H37-$B$8))</f>
        <v>286.41</v>
      </c>
      <c r="N38" s="46" t="n">
        <f aca="false">MIN(E38,MAX(0,$B$10-L37))</f>
        <v>0</v>
      </c>
    </row>
    <row r="39" customFormat="false" ht="15" hidden="false" customHeight="false" outlineLevel="0" collapsed="false">
      <c r="A39" s="42" t="n">
        <v>46935</v>
      </c>
      <c r="B39" s="43" t="n">
        <f aca="false">$B$5</f>
        <v>127</v>
      </c>
      <c r="C39" s="18"/>
      <c r="D39" s="18"/>
      <c r="E39" s="44" t="n">
        <f aca="false">IF(ISBLANK(C39),B39,C39)+IF(ISBLANK(D39),0,D39)+IF(A39&gt;=DATE(2027,2,1),96.24,0)+IF(A39&gt;=DATE(2027,3,1),18.17,0)+IF(J38&lt;=0,$B$7,0)+IF(G38&lt;=0,$B$9,0)+IF(H38&lt;=0,$B$8,0)</f>
        <v>286.41</v>
      </c>
      <c r="F39" s="17" t="n">
        <f aca="false">MAX(0,F38-(E39-N39))</f>
        <v>0</v>
      </c>
      <c r="G39" s="17" t="n">
        <f aca="false">MAX(0,G38-$B$9-MAX(0,(E39-N39)-F38))</f>
        <v>0</v>
      </c>
      <c r="H39" s="17" t="n">
        <f aca="false">MAX(0,H38-$B$8-MAX(0,(E39-N39)-F38-G38))</f>
        <v>0</v>
      </c>
      <c r="I39" s="17" t="n">
        <f aca="false">$B$11-L39</f>
        <v>0</v>
      </c>
      <c r="J39" s="17" t="n">
        <f aca="false">MAX(0,J38*(1+$B$6/12)-IF(J38&gt;0,$B$7,0)-MAX(0,M39-(L39-(L38+N39))))</f>
        <v>4356.24032028337</v>
      </c>
      <c r="K39" s="45" t="str">
        <f aca="false">IF(AND(F39=0,G39=0,H39=0,I39&lt;=0,J39=0),"✓","")</f>
        <v/>
      </c>
      <c r="L39" s="46" t="n">
        <f aca="false">MIN($B$11,L38+N39+M39)</f>
        <v>750</v>
      </c>
      <c r="M39" s="46" t="n">
        <f aca="false">MAX(0,(E39-N39)-F38-G38-MAX(0,H38-$B$8))</f>
        <v>286.41</v>
      </c>
      <c r="N39" s="46" t="n">
        <f aca="false">MIN(E39,MAX(0,$B$10-L38))</f>
        <v>0</v>
      </c>
    </row>
    <row r="40" customFormat="false" ht="15" hidden="false" customHeight="false" outlineLevel="0" collapsed="false">
      <c r="A40" s="42" t="n">
        <v>46966</v>
      </c>
      <c r="B40" s="43" t="n">
        <f aca="false">$B$5</f>
        <v>127</v>
      </c>
      <c r="C40" s="18"/>
      <c r="D40" s="18"/>
      <c r="E40" s="44" t="n">
        <f aca="false">IF(ISBLANK(C40),B40,C40)+IF(ISBLANK(D40),0,D40)+IF(A40&gt;=DATE(2027,2,1),96.24,0)+IF(A40&gt;=DATE(2027,3,1),18.17,0)+IF(J39&lt;=0,$B$7,0)+IF(G39&lt;=0,$B$9,0)+IF(H39&lt;=0,$B$8,0)</f>
        <v>286.41</v>
      </c>
      <c r="F40" s="17" t="n">
        <f aca="false">MAX(0,F39-(E40-N40))</f>
        <v>0</v>
      </c>
      <c r="G40" s="17" t="n">
        <f aca="false">MAX(0,G39-$B$9-MAX(0,(E40-N40)-F39))</f>
        <v>0</v>
      </c>
      <c r="H40" s="17" t="n">
        <f aca="false">MAX(0,H39-$B$8-MAX(0,(E40-N40)-F39-G39))</f>
        <v>0</v>
      </c>
      <c r="I40" s="17" t="n">
        <f aca="false">$B$11-L40</f>
        <v>0</v>
      </c>
      <c r="J40" s="17" t="n">
        <f aca="false">MAX(0,J39*(1+$B$6/12)-IF(J39&gt;0,$B$7,0)-MAX(0,M40-(L40-(L39+N40))))</f>
        <v>3925.07266207162</v>
      </c>
      <c r="K40" s="45" t="str">
        <f aca="false">IF(AND(F40=0,G40=0,H40=0,I40&lt;=0,J40=0),"✓","")</f>
        <v/>
      </c>
      <c r="L40" s="46" t="n">
        <f aca="false">MIN($B$11,L39+N40+M40)</f>
        <v>750</v>
      </c>
      <c r="M40" s="46" t="n">
        <f aca="false">MAX(0,(E40-N40)-F39-G39-MAX(0,H39-$B$8))</f>
        <v>286.41</v>
      </c>
      <c r="N40" s="46" t="n">
        <f aca="false">MIN(E40,MAX(0,$B$10-L39))</f>
        <v>0</v>
      </c>
    </row>
    <row r="41" customFormat="false" ht="15" hidden="false" customHeight="false" outlineLevel="0" collapsed="false">
      <c r="A41" s="42" t="n">
        <v>46997</v>
      </c>
      <c r="B41" s="43" t="n">
        <f aca="false">$B$5</f>
        <v>127</v>
      </c>
      <c r="C41" s="18"/>
      <c r="D41" s="18"/>
      <c r="E41" s="44" t="n">
        <f aca="false">IF(ISBLANK(C41),B41,C41)+IF(ISBLANK(D41),0,D41)+IF(A41&gt;=DATE(2027,2,1),96.24,0)+IF(A41&gt;=DATE(2027,3,1),18.17,0)+IF(J40&lt;=0,$B$7,0)+IF(G40&lt;=0,$B$9,0)+IF(H40&lt;=0,$B$8,0)</f>
        <v>286.41</v>
      </c>
      <c r="F41" s="17" t="n">
        <f aca="false">MAX(0,F40-(E41-N41))</f>
        <v>0</v>
      </c>
      <c r="G41" s="17" t="n">
        <f aca="false">MAX(0,G40-$B$9-MAX(0,(E41-N41)-F40))</f>
        <v>0</v>
      </c>
      <c r="H41" s="17" t="n">
        <f aca="false">MAX(0,H40-$B$8-MAX(0,(E41-N41)-F40-G40))</f>
        <v>0</v>
      </c>
      <c r="I41" s="17" t="n">
        <f aca="false">$B$11-L41</f>
        <v>0</v>
      </c>
      <c r="J41" s="17" t="n">
        <f aca="false">MAX(0,J40*(1+$B$6/12)-IF(J40&gt;0,$B$7,0)-MAX(0,M41-(L41-(L40+N41))))</f>
        <v>3491.49765110151</v>
      </c>
      <c r="K41" s="45" t="str">
        <f aca="false">IF(AND(F41=0,G41=0,H41=0,I41&lt;=0,J41=0),"✓","")</f>
        <v/>
      </c>
      <c r="L41" s="46" t="n">
        <f aca="false">MIN($B$11,L40+N41+M41)</f>
        <v>750</v>
      </c>
      <c r="M41" s="46" t="n">
        <f aca="false">MAX(0,(E41-N41)-F40-G40-MAX(0,H40-$B$8))</f>
        <v>286.41</v>
      </c>
      <c r="N41" s="46" t="n">
        <f aca="false">MIN(E41,MAX(0,$B$10-L40))</f>
        <v>0</v>
      </c>
    </row>
    <row r="42" customFormat="false" ht="15" hidden="false" customHeight="false" outlineLevel="0" collapsed="false">
      <c r="A42" s="42" t="n">
        <v>47027</v>
      </c>
      <c r="B42" s="43" t="n">
        <f aca="false">$B$5</f>
        <v>127</v>
      </c>
      <c r="C42" s="18"/>
      <c r="D42" s="18"/>
      <c r="E42" s="44" t="n">
        <f aca="false">IF(ISBLANK(C42),B42,C42)+IF(ISBLANK(D42),0,D42)+IF(A42&gt;=DATE(2027,2,1),96.24,0)+IF(A42&gt;=DATE(2027,3,1),18.17,0)+IF(J41&lt;=0,$B$7,0)+IF(G41&lt;=0,$B$9,0)+IF(H41&lt;=0,$B$8,0)</f>
        <v>286.41</v>
      </c>
      <c r="F42" s="17" t="n">
        <f aca="false">MAX(0,F41-(E42-N42))</f>
        <v>0</v>
      </c>
      <c r="G42" s="17" t="n">
        <f aca="false">MAX(0,G41-$B$9-MAX(0,(E42-N42)-F41))</f>
        <v>0</v>
      </c>
      <c r="H42" s="17" t="n">
        <f aca="false">MAX(0,H41-$B$8-MAX(0,(E42-N42)-F41-G41))</f>
        <v>0</v>
      </c>
      <c r="I42" s="17" t="n">
        <f aca="false">$B$11-L42</f>
        <v>0</v>
      </c>
      <c r="J42" s="17" t="n">
        <f aca="false">MAX(0,J41*(1+$B$6/12)-IF(J41&gt;0,$B$7,0)-MAX(0,M42-(L42-(L41+N42))))</f>
        <v>3055.50184632017</v>
      </c>
      <c r="K42" s="45" t="str">
        <f aca="false">IF(AND(F42=0,G42=0,H42=0,I42&lt;=0,J42=0),"✓","")</f>
        <v/>
      </c>
      <c r="L42" s="46" t="n">
        <f aca="false">MIN($B$11,L41+N42+M42)</f>
        <v>750</v>
      </c>
      <c r="M42" s="46" t="n">
        <f aca="false">MAX(0,(E42-N42)-F41-G41-MAX(0,H41-$B$8))</f>
        <v>286.41</v>
      </c>
      <c r="N42" s="46" t="n">
        <f aca="false">MIN(E42,MAX(0,$B$10-L41))</f>
        <v>0</v>
      </c>
    </row>
    <row r="43" customFormat="false" ht="15" hidden="false" customHeight="false" outlineLevel="0" collapsed="false">
      <c r="A43" s="42" t="n">
        <v>47058</v>
      </c>
      <c r="B43" s="43" t="n">
        <f aca="false">$B$5</f>
        <v>127</v>
      </c>
      <c r="C43" s="18"/>
      <c r="D43" s="18"/>
      <c r="E43" s="44" t="n">
        <f aca="false">IF(ISBLANK(C43),B43,C43)+IF(ISBLANK(D43),0,D43)+IF(A43&gt;=DATE(2027,2,1),96.24,0)+IF(A43&gt;=DATE(2027,3,1),18.17,0)+IF(J42&lt;=0,$B$7,0)+IF(G42&lt;=0,$B$9,0)+IF(H42&lt;=0,$B$8,0)</f>
        <v>286.41</v>
      </c>
      <c r="F43" s="17" t="n">
        <f aca="false">MAX(0,F42-(E43-N43))</f>
        <v>0</v>
      </c>
      <c r="G43" s="17" t="n">
        <f aca="false">MAX(0,G42-$B$9-MAX(0,(E43-N43)-F42))</f>
        <v>0</v>
      </c>
      <c r="H43" s="17" t="n">
        <f aca="false">MAX(0,H42-$B$8-MAX(0,(E43-N43)-F42-G42))</f>
        <v>0</v>
      </c>
      <c r="I43" s="17" t="n">
        <f aca="false">$B$11-L43</f>
        <v>0</v>
      </c>
      <c r="J43" s="17" t="n">
        <f aca="false">MAX(0,J42*(1+$B$6/12)-IF(J42&gt;0,$B$7,0)-MAX(0,M43-(L43-(L42+N43))))</f>
        <v>2617.07173162879</v>
      </c>
      <c r="K43" s="45" t="str">
        <f aca="false">IF(AND(F43=0,G43=0,H43=0,I43&lt;=0,J43=0),"✓","")</f>
        <v/>
      </c>
      <c r="L43" s="46" t="n">
        <f aca="false">MIN($B$11,L42+N43+M43)</f>
        <v>750</v>
      </c>
      <c r="M43" s="46" t="n">
        <f aca="false">MAX(0,(E43-N43)-F42-G42-MAX(0,H42-$B$8))</f>
        <v>286.41</v>
      </c>
      <c r="N43" s="46" t="n">
        <f aca="false">MIN(E43,MAX(0,$B$10-L42))</f>
        <v>0</v>
      </c>
    </row>
    <row r="44" customFormat="false" ht="15" hidden="false" customHeight="false" outlineLevel="0" collapsed="false">
      <c r="A44" s="42" t="n">
        <v>47088</v>
      </c>
      <c r="B44" s="43" t="n">
        <f aca="false">$B$5</f>
        <v>127</v>
      </c>
      <c r="C44" s="18"/>
      <c r="D44" s="18"/>
      <c r="E44" s="44" t="n">
        <f aca="false">IF(ISBLANK(C44),B44,C44)+IF(ISBLANK(D44),0,D44)+IF(A44&gt;=DATE(2027,2,1),96.24,0)+IF(A44&gt;=DATE(2027,3,1),18.17,0)+IF(J43&lt;=0,$B$7,0)+IF(G43&lt;=0,$B$9,0)+IF(H43&lt;=0,$B$8,0)</f>
        <v>286.41</v>
      </c>
      <c r="F44" s="17" t="n">
        <f aca="false">MAX(0,F43-(E44-N44))</f>
        <v>0</v>
      </c>
      <c r="G44" s="17" t="n">
        <f aca="false">MAX(0,G43-$B$9-MAX(0,(E44-N44)-F43))</f>
        <v>0</v>
      </c>
      <c r="H44" s="17" t="n">
        <f aca="false">MAX(0,H43-$B$8-MAX(0,(E44-N44)-F43-G43))</f>
        <v>0</v>
      </c>
      <c r="I44" s="17" t="n">
        <f aca="false">$B$11-L44</f>
        <v>0</v>
      </c>
      <c r="J44" s="17" t="n">
        <f aca="false">MAX(0,J43*(1+$B$6/12)-IF(J43&gt;0,$B$7,0)-MAX(0,M44-(L44-(L43+N44))))</f>
        <v>2176.19371546371</v>
      </c>
      <c r="K44" s="45" t="str">
        <f aca="false">IF(AND(F44=0,G44=0,H44=0,I44&lt;=0,J44=0),"✓","")</f>
        <v/>
      </c>
      <c r="L44" s="46" t="n">
        <f aca="false">MIN($B$11,L43+N44+M44)</f>
        <v>750</v>
      </c>
      <c r="M44" s="46" t="n">
        <f aca="false">MAX(0,(E44-N44)-F43-G43-MAX(0,H43-$B$8))</f>
        <v>286.41</v>
      </c>
      <c r="N44" s="46" t="n">
        <f aca="false">MIN(E44,MAX(0,$B$10-L43))</f>
        <v>0</v>
      </c>
    </row>
    <row r="45" customFormat="false" ht="15" hidden="false" customHeight="false" outlineLevel="0" collapsed="false">
      <c r="A45" s="42" t="n">
        <v>47119</v>
      </c>
      <c r="B45" s="43" t="n">
        <f aca="false">$B$5</f>
        <v>127</v>
      </c>
      <c r="C45" s="18"/>
      <c r="D45" s="18"/>
      <c r="E45" s="44" t="n">
        <f aca="false">IF(ISBLANK(C45),B45,C45)+IF(ISBLANK(D45),0,D45)+IF(A45&gt;=DATE(2027,2,1),96.24,0)+IF(A45&gt;=DATE(2027,3,1),18.17,0)+IF(J44&lt;=0,$B$7,0)+IF(G44&lt;=0,$B$9,0)+IF(H44&lt;=0,$B$8,0)</f>
        <v>286.41</v>
      </c>
      <c r="F45" s="17" t="n">
        <f aca="false">MAX(0,F44-(E45-N45))</f>
        <v>0</v>
      </c>
      <c r="G45" s="17" t="n">
        <f aca="false">MAX(0,G44-$B$9-MAX(0,(E45-N45)-F44))</f>
        <v>0</v>
      </c>
      <c r="H45" s="17" t="n">
        <f aca="false">MAX(0,H44-$B$8-MAX(0,(E45-N45)-F44-G44))</f>
        <v>0</v>
      </c>
      <c r="I45" s="17" t="n">
        <f aca="false">$B$11-L45</f>
        <v>0</v>
      </c>
      <c r="J45" s="17" t="n">
        <f aca="false">MAX(0,J44*(1+$B$6/12)-IF(J44&gt;0,$B$7,0)-MAX(0,M45-(L45-(L44+N45))))</f>
        <v>1732.85413037505</v>
      </c>
      <c r="K45" s="45" t="str">
        <f aca="false">IF(AND(F45=0,G45=0,H45=0,I45&lt;=0,J45=0),"✓","")</f>
        <v/>
      </c>
      <c r="L45" s="46" t="n">
        <f aca="false">MIN($B$11,L44+N45+M45)</f>
        <v>750</v>
      </c>
      <c r="M45" s="46" t="n">
        <f aca="false">MAX(0,(E45-N45)-F44-G44-MAX(0,H44-$B$8))</f>
        <v>286.41</v>
      </c>
      <c r="N45" s="46" t="n">
        <f aca="false">MIN(E45,MAX(0,$B$10-L44))</f>
        <v>0</v>
      </c>
    </row>
    <row r="46" customFormat="false" ht="15" hidden="false" customHeight="false" outlineLevel="0" collapsed="false">
      <c r="A46" s="42" t="n">
        <v>47150</v>
      </c>
      <c r="B46" s="43" t="n">
        <f aca="false">$B$5</f>
        <v>127</v>
      </c>
      <c r="C46" s="18"/>
      <c r="D46" s="18"/>
      <c r="E46" s="44" t="n">
        <f aca="false">IF(ISBLANK(C46),B46,C46)+IF(ISBLANK(D46),0,D46)+IF(A46&gt;=DATE(2027,2,1),96.24,0)+IF(A46&gt;=DATE(2027,3,1),18.17,0)+IF(J45&lt;=0,$B$7,0)+IF(G45&lt;=0,$B$9,0)+IF(H45&lt;=0,$B$8,0)</f>
        <v>286.41</v>
      </c>
      <c r="F46" s="17" t="n">
        <f aca="false">MAX(0,F45-(E46-N46))</f>
        <v>0</v>
      </c>
      <c r="G46" s="17" t="n">
        <f aca="false">MAX(0,G45-$B$9-MAX(0,(E46-N46)-F45))</f>
        <v>0</v>
      </c>
      <c r="H46" s="17" t="n">
        <f aca="false">MAX(0,H45-$B$8-MAX(0,(E46-N46)-F45-G45))</f>
        <v>0</v>
      </c>
      <c r="I46" s="17" t="n">
        <f aca="false">$B$11-L46</f>
        <v>0</v>
      </c>
      <c r="J46" s="17" t="n">
        <f aca="false">MAX(0,J45*(1+$B$6/12)-IF(J45&gt;0,$B$7,0)-MAX(0,M46-(L46-(L45+N46))))</f>
        <v>1287.03923260298</v>
      </c>
      <c r="K46" s="45" t="str">
        <f aca="false">IF(AND(F46=0,G46=0,H46=0,I46&lt;=0,J46=0),"✓","")</f>
        <v/>
      </c>
      <c r="L46" s="46" t="n">
        <f aca="false">MIN($B$11,L45+N46+M46)</f>
        <v>750</v>
      </c>
      <c r="M46" s="46" t="n">
        <f aca="false">MAX(0,(E46-N46)-F45-G45-MAX(0,H45-$B$8))</f>
        <v>286.41</v>
      </c>
      <c r="N46" s="46" t="n">
        <f aca="false">MIN(E46,MAX(0,$B$10-L45))</f>
        <v>0</v>
      </c>
    </row>
    <row r="47" customFormat="false" ht="15" hidden="false" customHeight="false" outlineLevel="0" collapsed="false">
      <c r="A47" s="42" t="n">
        <v>47178</v>
      </c>
      <c r="B47" s="43" t="n">
        <f aca="false">$B$5</f>
        <v>127</v>
      </c>
      <c r="C47" s="18"/>
      <c r="D47" s="18"/>
      <c r="E47" s="44" t="n">
        <f aca="false">IF(ISBLANK(C47),B47,C47)+IF(ISBLANK(D47),0,D47)+IF(A47&gt;=DATE(2027,2,1),96.24,0)+IF(A47&gt;=DATE(2027,3,1),18.17,0)+IF(J46&lt;=0,$B$7,0)+IF(G46&lt;=0,$B$9,0)+IF(H46&lt;=0,$B$8,0)</f>
        <v>286.41</v>
      </c>
      <c r="F47" s="17" t="n">
        <f aca="false">MAX(0,F46-(E47-N47))</f>
        <v>0</v>
      </c>
      <c r="G47" s="17" t="n">
        <f aca="false">MAX(0,G46-$B$9-MAX(0,(E47-N47)-F46))</f>
        <v>0</v>
      </c>
      <c r="H47" s="17" t="n">
        <f aca="false">MAX(0,H46-$B$8-MAX(0,(E47-N47)-F46-G46))</f>
        <v>0</v>
      </c>
      <c r="I47" s="17" t="n">
        <f aca="false">$B$11-L47</f>
        <v>0</v>
      </c>
      <c r="J47" s="17" t="n">
        <f aca="false">MAX(0,J46*(1+$B$6/12)-IF(J46&gt;0,$B$7,0)-MAX(0,M47-(L47-(L46+N47))))</f>
        <v>838.73520165168</v>
      </c>
      <c r="K47" s="45" t="str">
        <f aca="false">IF(AND(F47=0,G47=0,H47=0,I47&lt;=0,J47=0),"✓","")</f>
        <v/>
      </c>
      <c r="L47" s="46" t="n">
        <f aca="false">MIN($B$11,L46+N47+M47)</f>
        <v>750</v>
      </c>
      <c r="M47" s="46" t="n">
        <f aca="false">MAX(0,(E47-N47)-F46-G46-MAX(0,H46-$B$8))</f>
        <v>286.41</v>
      </c>
      <c r="N47" s="46" t="n">
        <f aca="false">MIN(E47,MAX(0,$B$10-L46))</f>
        <v>0</v>
      </c>
    </row>
    <row r="48" customFormat="false" ht="15" hidden="false" customHeight="false" outlineLevel="0" collapsed="false">
      <c r="A48" s="42" t="n">
        <v>47209</v>
      </c>
      <c r="B48" s="43" t="n">
        <f aca="false">$B$5</f>
        <v>127</v>
      </c>
      <c r="C48" s="18"/>
      <c r="D48" s="18"/>
      <c r="E48" s="44" t="n">
        <f aca="false">IF(ISBLANK(C48),B48,C48)+IF(ISBLANK(D48),0,D48)+IF(A48&gt;=DATE(2027,2,1),96.24,0)+IF(A48&gt;=DATE(2027,3,1),18.17,0)+IF(J47&lt;=0,$B$7,0)+IF(G47&lt;=0,$B$9,0)+IF(H47&lt;=0,$B$8,0)</f>
        <v>286.41</v>
      </c>
      <c r="F48" s="17" t="n">
        <f aca="false">MAX(0,F47-(E48-N48))</f>
        <v>0</v>
      </c>
      <c r="G48" s="17" t="n">
        <f aca="false">MAX(0,G47-$B$9-MAX(0,(E48-N48)-F47))</f>
        <v>0</v>
      </c>
      <c r="H48" s="17" t="n">
        <f aca="false">MAX(0,H47-$B$8-MAX(0,(E48-N48)-F47-G47))</f>
        <v>0</v>
      </c>
      <c r="I48" s="17" t="n">
        <f aca="false">$B$11-L48</f>
        <v>0</v>
      </c>
      <c r="J48" s="17" t="n">
        <f aca="false">MAX(0,J47*(1+$B$6/12)-IF(J47&gt;0,$B$7,0)-MAX(0,M48-(L48-(L47+N48))))</f>
        <v>387.928139860901</v>
      </c>
      <c r="K48" s="45" t="str">
        <f aca="false">IF(AND(F48=0,G48=0,H48=0,I48&lt;=0,J48=0),"✓","")</f>
        <v/>
      </c>
      <c r="L48" s="46" t="n">
        <f aca="false">MIN($B$11,L47+N48+M48)</f>
        <v>750</v>
      </c>
      <c r="M48" s="46" t="n">
        <f aca="false">MAX(0,(E48-N48)-F47-G47-MAX(0,H47-$B$8))</f>
        <v>286.41</v>
      </c>
      <c r="N48" s="46" t="n">
        <f aca="false">MIN(E48,MAX(0,$B$10-L47))</f>
        <v>0</v>
      </c>
    </row>
    <row r="49" customFormat="false" ht="15" hidden="false" customHeight="false" outlineLevel="0" collapsed="false">
      <c r="A49" s="42" t="n">
        <v>47239</v>
      </c>
      <c r="B49" s="43" t="n">
        <f aca="false">$B$5</f>
        <v>127</v>
      </c>
      <c r="C49" s="18"/>
      <c r="D49" s="18"/>
      <c r="E49" s="44" t="n">
        <f aca="false">IF(ISBLANK(C49),B49,C49)+IF(ISBLANK(D49),0,D49)+IF(A49&gt;=DATE(2027,2,1),96.24,0)+IF(A49&gt;=DATE(2027,3,1),18.17,0)+IF(J48&lt;=0,$B$7,0)+IF(G48&lt;=0,$B$9,0)+IF(H48&lt;=0,$B$8,0)</f>
        <v>286.41</v>
      </c>
      <c r="F49" s="17" t="n">
        <f aca="false">MAX(0,F48-(E49-N49))</f>
        <v>0</v>
      </c>
      <c r="G49" s="17" t="n">
        <f aca="false">MAX(0,G48-$B$9-MAX(0,(E49-N49)-F48))</f>
        <v>0</v>
      </c>
      <c r="H49" s="17" t="n">
        <f aca="false">MAX(0,H48-$B$8-MAX(0,(E49-N49)-F48-G48))</f>
        <v>0</v>
      </c>
      <c r="I49" s="17" t="n">
        <f aca="false">$B$11-L49</f>
        <v>0</v>
      </c>
      <c r="J49" s="17" t="n">
        <f aca="false">MAX(0,J48*(1+$B$6/12)-IF(J48&gt;0,$B$7,0)-MAX(0,M49-(L49-(L48+N49))))</f>
        <v>0</v>
      </c>
      <c r="K49" s="45" t="str">
        <f aca="false">IF(AND(F49=0,G49=0,H49=0,I49&lt;=0,J49=0),"✓","")</f>
        <v>✓</v>
      </c>
      <c r="L49" s="46" t="n">
        <f aca="false">MIN($B$11,L48+N49+M49)</f>
        <v>750</v>
      </c>
      <c r="M49" s="46" t="n">
        <f aca="false">MAX(0,(E49-N49)-F48-G48-MAX(0,H48-$B$8))</f>
        <v>286.41</v>
      </c>
      <c r="N49" s="46" t="n">
        <f aca="false">MIN(E49,MAX(0,$B$10-L48))</f>
        <v>0</v>
      </c>
    </row>
    <row r="50" customFormat="false" ht="15" hidden="false" customHeight="false" outlineLevel="0" collapsed="false">
      <c r="A50" s="42" t="n">
        <v>47270</v>
      </c>
      <c r="B50" s="43" t="n">
        <f aca="false">$B$5</f>
        <v>127</v>
      </c>
      <c r="C50" s="18"/>
      <c r="D50" s="18"/>
      <c r="E50" s="44" t="n">
        <f aca="false">IF(ISBLANK(C50),B50,C50)+IF(ISBLANK(D50),0,D50)+IF(A50&gt;=DATE(2027,2,1),96.24,0)+IF(A50&gt;=DATE(2027,3,1),18.17,0)+IF(J49&lt;=0,$B$7,0)+IF(G49&lt;=0,$B$9,0)+IF(H49&lt;=0,$B$8,0)</f>
        <v>455.49</v>
      </c>
      <c r="F50" s="17" t="n">
        <f aca="false">MAX(0,F49-(E50-N50))</f>
        <v>0</v>
      </c>
      <c r="G50" s="17" t="n">
        <f aca="false">MAX(0,G49-$B$9-MAX(0,(E50-N50)-F49))</f>
        <v>0</v>
      </c>
      <c r="H50" s="17" t="n">
        <f aca="false">MAX(0,H49-$B$8-MAX(0,(E50-N50)-F49-G49))</f>
        <v>0</v>
      </c>
      <c r="I50" s="17" t="n">
        <f aca="false">$B$11-L50</f>
        <v>0</v>
      </c>
      <c r="J50" s="17" t="n">
        <f aca="false">MAX(0,J49*(1+$B$6/12)-IF(J49&gt;0,$B$7,0)-MAX(0,M50-(L50-(L49+N50))))</f>
        <v>0</v>
      </c>
      <c r="K50" s="45" t="str">
        <f aca="false">IF(AND(F50=0,G50=0,H50=0,I50&lt;=0,J50=0),"✓","")</f>
        <v>✓</v>
      </c>
      <c r="L50" s="46" t="n">
        <f aca="false">MIN($B$11,L49+N50+M50)</f>
        <v>750</v>
      </c>
      <c r="M50" s="46" t="n">
        <f aca="false">MAX(0,(E50-N50)-F49-G49-MAX(0,H49-$B$8))</f>
        <v>455.49</v>
      </c>
      <c r="N50" s="46" t="n">
        <f aca="false">MIN(E50,MAX(0,$B$10-L49))</f>
        <v>0</v>
      </c>
    </row>
    <row r="51" customFormat="false" ht="15" hidden="false" customHeight="false" outlineLevel="0" collapsed="false">
      <c r="A51" s="42" t="n">
        <v>47300</v>
      </c>
      <c r="B51" s="43" t="n">
        <f aca="false">$B$5</f>
        <v>127</v>
      </c>
      <c r="C51" s="18"/>
      <c r="D51" s="18"/>
      <c r="E51" s="44" t="n">
        <f aca="false">IF(ISBLANK(C51),B51,C51)+IF(ISBLANK(D51),0,D51)+IF(A51&gt;=DATE(2027,2,1),96.24,0)+IF(A51&gt;=DATE(2027,3,1),18.17,0)+IF(J50&lt;=0,$B$7,0)+IF(G50&lt;=0,$B$9,0)+IF(H50&lt;=0,$B$8,0)</f>
        <v>455.49</v>
      </c>
      <c r="F51" s="17" t="n">
        <f aca="false">MAX(0,F50-(E51-N51))</f>
        <v>0</v>
      </c>
      <c r="G51" s="17" t="n">
        <f aca="false">MAX(0,G50-$B$9-MAX(0,(E51-N51)-F50))</f>
        <v>0</v>
      </c>
      <c r="H51" s="17" t="n">
        <f aca="false">MAX(0,H50-$B$8-MAX(0,(E51-N51)-F50-G50))</f>
        <v>0</v>
      </c>
      <c r="I51" s="17" t="n">
        <f aca="false">$B$11-L51</f>
        <v>0</v>
      </c>
      <c r="J51" s="17" t="n">
        <f aca="false">MAX(0,J50*(1+$B$6/12)-IF(J50&gt;0,$B$7,0)-MAX(0,M51-(L51-(L50+N51))))</f>
        <v>0</v>
      </c>
      <c r="K51" s="45" t="str">
        <f aca="false">IF(AND(F51=0,G51=0,H51=0,I51&lt;=0,J51=0),"✓","")</f>
        <v>✓</v>
      </c>
      <c r="L51" s="46" t="n">
        <f aca="false">MIN($B$11,L50+N51+M51)</f>
        <v>750</v>
      </c>
      <c r="M51" s="46" t="n">
        <f aca="false">MAX(0,(E51-N51)-F50-G50-MAX(0,H50-$B$8))</f>
        <v>455.49</v>
      </c>
      <c r="N51" s="46" t="n">
        <f aca="false">MIN(E51,MAX(0,$B$10-L50))</f>
        <v>0</v>
      </c>
    </row>
    <row r="52" customFormat="false" ht="15" hidden="false" customHeight="false" outlineLevel="0" collapsed="false">
      <c r="A52" s="42" t="n">
        <v>47331</v>
      </c>
      <c r="B52" s="43" t="n">
        <f aca="false">$B$5</f>
        <v>127</v>
      </c>
      <c r="C52" s="18"/>
      <c r="D52" s="18"/>
      <c r="E52" s="44" t="n">
        <f aca="false">IF(ISBLANK(C52),B52,C52)+IF(ISBLANK(D52),0,D52)+IF(A52&gt;=DATE(2027,2,1),96.24,0)+IF(A52&gt;=DATE(2027,3,1),18.17,0)+IF(J51&lt;=0,$B$7,0)+IF(G51&lt;=0,$B$9,0)+IF(H51&lt;=0,$B$8,0)</f>
        <v>455.49</v>
      </c>
      <c r="F52" s="17" t="n">
        <f aca="false">MAX(0,F51-(E52-N52))</f>
        <v>0</v>
      </c>
      <c r="G52" s="17" t="n">
        <f aca="false">MAX(0,G51-$B$9-MAX(0,(E52-N52)-F51))</f>
        <v>0</v>
      </c>
      <c r="H52" s="17" t="n">
        <f aca="false">MAX(0,H51-$B$8-MAX(0,(E52-N52)-F51-G51))</f>
        <v>0</v>
      </c>
      <c r="I52" s="17" t="n">
        <f aca="false">$B$11-L52</f>
        <v>0</v>
      </c>
      <c r="J52" s="17" t="n">
        <f aca="false">MAX(0,J51*(1+$B$6/12)-IF(J51&gt;0,$B$7,0)-MAX(0,M52-(L52-(L51+N52))))</f>
        <v>0</v>
      </c>
      <c r="K52" s="45" t="str">
        <f aca="false">IF(AND(F52=0,G52=0,H52=0,I52&lt;=0,J52=0),"✓","")</f>
        <v>✓</v>
      </c>
      <c r="L52" s="46" t="n">
        <f aca="false">MIN($B$11,L51+N52+M52)</f>
        <v>750</v>
      </c>
      <c r="M52" s="46" t="n">
        <f aca="false">MAX(0,(E52-N52)-F51-G51-MAX(0,H51-$B$8))</f>
        <v>455.49</v>
      </c>
      <c r="N52" s="46" t="n">
        <f aca="false">MIN(E52,MAX(0,$B$10-L51))</f>
        <v>0</v>
      </c>
    </row>
    <row r="53" customFormat="false" ht="15" hidden="false" customHeight="false" outlineLevel="0" collapsed="false">
      <c r="A53" s="42" t="n">
        <v>47362</v>
      </c>
      <c r="B53" s="43" t="n">
        <f aca="false">$B$5</f>
        <v>127</v>
      </c>
      <c r="C53" s="18"/>
      <c r="D53" s="18"/>
      <c r="E53" s="44" t="n">
        <f aca="false">IF(ISBLANK(C53),B53,C53)+IF(ISBLANK(D53),0,D53)+IF(A53&gt;=DATE(2027,2,1),96.24,0)+IF(A53&gt;=DATE(2027,3,1),18.17,0)+IF(J52&lt;=0,$B$7,0)+IF(G52&lt;=0,$B$9,0)+IF(H52&lt;=0,$B$8,0)</f>
        <v>455.49</v>
      </c>
      <c r="F53" s="17" t="n">
        <f aca="false">MAX(0,F52-(E53-N53))</f>
        <v>0</v>
      </c>
      <c r="G53" s="17" t="n">
        <f aca="false">MAX(0,G52-$B$9-MAX(0,(E53-N53)-F52))</f>
        <v>0</v>
      </c>
      <c r="H53" s="17" t="n">
        <f aca="false">MAX(0,H52-$B$8-MAX(0,(E53-N53)-F52-G52))</f>
        <v>0</v>
      </c>
      <c r="I53" s="17" t="n">
        <f aca="false">$B$11-L53</f>
        <v>0</v>
      </c>
      <c r="J53" s="17" t="n">
        <f aca="false">MAX(0,J52*(1+$B$6/12)-IF(J52&gt;0,$B$7,0)-MAX(0,M53-(L53-(L52+N53))))</f>
        <v>0</v>
      </c>
      <c r="K53" s="45" t="str">
        <f aca="false">IF(AND(F53=0,G53=0,H53=0,I53&lt;=0,J53=0),"✓","")</f>
        <v>✓</v>
      </c>
      <c r="L53" s="46" t="n">
        <f aca="false">MIN($B$11,L52+N53+M53)</f>
        <v>750</v>
      </c>
      <c r="M53" s="46" t="n">
        <f aca="false">MAX(0,(E53-N53)-F52-G52-MAX(0,H52-$B$8))</f>
        <v>455.49</v>
      </c>
      <c r="N53" s="46" t="n">
        <f aca="false">MIN(E53,MAX(0,$B$10-L52))</f>
        <v>0</v>
      </c>
    </row>
    <row r="54" customFormat="false" ht="15" hidden="false" customHeight="false" outlineLevel="0" collapsed="false">
      <c r="A54" s="42" t="n">
        <v>47392</v>
      </c>
      <c r="B54" s="43" t="n">
        <f aca="false">$B$5</f>
        <v>127</v>
      </c>
      <c r="C54" s="18"/>
      <c r="D54" s="18"/>
      <c r="E54" s="44" t="n">
        <f aca="false">IF(ISBLANK(C54),B54,C54)+IF(ISBLANK(D54),0,D54)+IF(A54&gt;=DATE(2027,2,1),96.24,0)+IF(A54&gt;=DATE(2027,3,1),18.17,0)+IF(J53&lt;=0,$B$7,0)+IF(G53&lt;=0,$B$9,0)+IF(H53&lt;=0,$B$8,0)</f>
        <v>455.49</v>
      </c>
      <c r="F54" s="17" t="n">
        <f aca="false">MAX(0,F53-(E54-N54))</f>
        <v>0</v>
      </c>
      <c r="G54" s="17" t="n">
        <f aca="false">MAX(0,G53-$B$9-MAX(0,(E54-N54)-F53))</f>
        <v>0</v>
      </c>
      <c r="H54" s="17" t="n">
        <f aca="false">MAX(0,H53-$B$8-MAX(0,(E54-N54)-F53-G53))</f>
        <v>0</v>
      </c>
      <c r="I54" s="17" t="n">
        <f aca="false">$B$11-L54</f>
        <v>0</v>
      </c>
      <c r="J54" s="17" t="n">
        <f aca="false">MAX(0,J53*(1+$B$6/12)-IF(J53&gt;0,$B$7,0)-MAX(0,M54-(L54-(L53+N54))))</f>
        <v>0</v>
      </c>
      <c r="K54" s="45" t="str">
        <f aca="false">IF(AND(F54=0,G54=0,H54=0,I54&lt;=0,J54=0),"✓","")</f>
        <v>✓</v>
      </c>
      <c r="L54" s="46" t="n">
        <f aca="false">MIN($B$11,L53+N54+M54)</f>
        <v>750</v>
      </c>
      <c r="M54" s="46" t="n">
        <f aca="false">MAX(0,(E54-N54)-F53-G53-MAX(0,H53-$B$8))</f>
        <v>455.49</v>
      </c>
      <c r="N54" s="46" t="n">
        <f aca="false">MIN(E54,MAX(0,$B$10-L53))</f>
        <v>0</v>
      </c>
    </row>
    <row r="55" customFormat="false" ht="15" hidden="false" customHeight="false" outlineLevel="0" collapsed="false">
      <c r="A55" s="42" t="n">
        <v>47423</v>
      </c>
      <c r="B55" s="43" t="n">
        <f aca="false">$B$5</f>
        <v>127</v>
      </c>
      <c r="C55" s="18"/>
      <c r="D55" s="18"/>
      <c r="E55" s="44" t="n">
        <f aca="false">IF(ISBLANK(C55),B55,C55)+IF(ISBLANK(D55),0,D55)+IF(A55&gt;=DATE(2027,2,1),96.24,0)+IF(A55&gt;=DATE(2027,3,1),18.17,0)+IF(J54&lt;=0,$B$7,0)+IF(G54&lt;=0,$B$9,0)+IF(H54&lt;=0,$B$8,0)</f>
        <v>455.49</v>
      </c>
      <c r="F55" s="17" t="n">
        <f aca="false">MAX(0,F54-(E55-N55))</f>
        <v>0</v>
      </c>
      <c r="G55" s="17" t="n">
        <f aca="false">MAX(0,G54-$B$9-MAX(0,(E55-N55)-F54))</f>
        <v>0</v>
      </c>
      <c r="H55" s="17" t="n">
        <f aca="false">MAX(0,H54-$B$8-MAX(0,(E55-N55)-F54-G54))</f>
        <v>0</v>
      </c>
      <c r="I55" s="17" t="n">
        <f aca="false">$B$11-L55</f>
        <v>0</v>
      </c>
      <c r="J55" s="17" t="n">
        <f aca="false">MAX(0,J54*(1+$B$6/12)-IF(J54&gt;0,$B$7,0)-MAX(0,M55-(L55-(L54+N55))))</f>
        <v>0</v>
      </c>
      <c r="K55" s="45" t="str">
        <f aca="false">IF(AND(F55=0,G55=0,H55=0,I55&lt;=0,J55=0),"✓","")</f>
        <v>✓</v>
      </c>
      <c r="L55" s="46" t="n">
        <f aca="false">MIN($B$11,L54+N55+M55)</f>
        <v>750</v>
      </c>
      <c r="M55" s="46" t="n">
        <f aca="false">MAX(0,(E55-N55)-F54-G54-MAX(0,H54-$B$8))</f>
        <v>455.49</v>
      </c>
      <c r="N55" s="46" t="n">
        <f aca="false">MIN(E55,MAX(0,$B$10-L54))</f>
        <v>0</v>
      </c>
    </row>
    <row r="56" customFormat="false" ht="15" hidden="false" customHeight="false" outlineLevel="0" collapsed="false">
      <c r="A56" s="42" t="n">
        <v>47453</v>
      </c>
      <c r="B56" s="43" t="n">
        <f aca="false">$B$5</f>
        <v>127</v>
      </c>
      <c r="C56" s="18"/>
      <c r="D56" s="18"/>
      <c r="E56" s="44" t="n">
        <f aca="false">IF(ISBLANK(C56),B56,C56)+IF(ISBLANK(D56),0,D56)+IF(A56&gt;=DATE(2027,2,1),96.24,0)+IF(A56&gt;=DATE(2027,3,1),18.17,0)+IF(J55&lt;=0,$B$7,0)+IF(G55&lt;=0,$B$9,0)+IF(H55&lt;=0,$B$8,0)</f>
        <v>455.49</v>
      </c>
      <c r="F56" s="17" t="n">
        <f aca="false">MAX(0,F55-(E56-N56))</f>
        <v>0</v>
      </c>
      <c r="G56" s="17" t="n">
        <f aca="false">MAX(0,G55-$B$9-MAX(0,(E56-N56)-F55))</f>
        <v>0</v>
      </c>
      <c r="H56" s="17" t="n">
        <f aca="false">MAX(0,H55-$B$8-MAX(0,(E56-N56)-F55-G55))</f>
        <v>0</v>
      </c>
      <c r="I56" s="17" t="n">
        <f aca="false">$B$11-L56</f>
        <v>0</v>
      </c>
      <c r="J56" s="17" t="n">
        <f aca="false">MAX(0,J55*(1+$B$6/12)-IF(J55&gt;0,$B$7,0)-MAX(0,M56-(L56-(L55+N56))))</f>
        <v>0</v>
      </c>
      <c r="K56" s="45" t="str">
        <f aca="false">IF(AND(F56=0,G56=0,H56=0,I56&lt;=0,J56=0),"✓","")</f>
        <v>✓</v>
      </c>
      <c r="L56" s="46" t="n">
        <f aca="false">MIN($B$11,L55+N56+M56)</f>
        <v>750</v>
      </c>
      <c r="M56" s="46" t="n">
        <f aca="false">MAX(0,(E56-N56)-F55-G55-MAX(0,H55-$B$8))</f>
        <v>455.49</v>
      </c>
      <c r="N56" s="46" t="n">
        <f aca="false">MIN(E56,MAX(0,$B$10-L55))</f>
        <v>0</v>
      </c>
    </row>
    <row r="57" customFormat="false" ht="15" hidden="false" customHeight="false" outlineLevel="0" collapsed="false">
      <c r="A57" s="42" t="n">
        <v>47484</v>
      </c>
      <c r="B57" s="43" t="n">
        <f aca="false">$B$5</f>
        <v>127</v>
      </c>
      <c r="C57" s="18"/>
      <c r="D57" s="18"/>
      <c r="E57" s="44" t="n">
        <f aca="false">IF(ISBLANK(C57),B57,C57)+IF(ISBLANK(D57),0,D57)+IF(A57&gt;=DATE(2027,2,1),96.24,0)+IF(A57&gt;=DATE(2027,3,1),18.17,0)+IF(J56&lt;=0,$B$7,0)+IF(G56&lt;=0,$B$9,0)+IF(H56&lt;=0,$B$8,0)</f>
        <v>455.49</v>
      </c>
      <c r="F57" s="17" t="n">
        <f aca="false">MAX(0,F56-(E57-N57))</f>
        <v>0</v>
      </c>
      <c r="G57" s="17" t="n">
        <f aca="false">MAX(0,G56-$B$9-MAX(0,(E57-N57)-F56))</f>
        <v>0</v>
      </c>
      <c r="H57" s="17" t="n">
        <f aca="false">MAX(0,H56-$B$8-MAX(0,(E57-N57)-F56-G56))</f>
        <v>0</v>
      </c>
      <c r="I57" s="17" t="n">
        <f aca="false">$B$11-L57</f>
        <v>0</v>
      </c>
      <c r="J57" s="17" t="n">
        <f aca="false">MAX(0,J56*(1+$B$6/12)-IF(J56&gt;0,$B$7,0)-MAX(0,M57-(L57-(L56+N57))))</f>
        <v>0</v>
      </c>
      <c r="K57" s="45" t="str">
        <f aca="false">IF(AND(F57=0,G57=0,H57=0,I57&lt;=0,J57=0),"✓","")</f>
        <v>✓</v>
      </c>
      <c r="L57" s="46" t="n">
        <f aca="false">MIN($B$11,L56+N57+M57)</f>
        <v>750</v>
      </c>
      <c r="M57" s="46" t="n">
        <f aca="false">MAX(0,(E57-N57)-F56-G56-MAX(0,H56-$B$8))</f>
        <v>455.49</v>
      </c>
      <c r="N57" s="46" t="n">
        <f aca="false">MIN(E57,MAX(0,$B$10-L56))</f>
        <v>0</v>
      </c>
    </row>
    <row r="58" customFormat="false" ht="15" hidden="false" customHeight="false" outlineLevel="0" collapsed="false">
      <c r="A58" s="42" t="n">
        <v>47515</v>
      </c>
      <c r="B58" s="43" t="n">
        <f aca="false">$B$5</f>
        <v>127</v>
      </c>
      <c r="C58" s="18"/>
      <c r="D58" s="18"/>
      <c r="E58" s="44" t="n">
        <f aca="false">IF(ISBLANK(C58),B58,C58)+IF(ISBLANK(D58),0,D58)+IF(A58&gt;=DATE(2027,2,1),96.24,0)+IF(A58&gt;=DATE(2027,3,1),18.17,0)+IF(J57&lt;=0,$B$7,0)+IF(G57&lt;=0,$B$9,0)+IF(H57&lt;=0,$B$8,0)</f>
        <v>455.49</v>
      </c>
      <c r="F58" s="17" t="n">
        <f aca="false">MAX(0,F57-(E58-N58))</f>
        <v>0</v>
      </c>
      <c r="G58" s="17" t="n">
        <f aca="false">MAX(0,G57-$B$9-MAX(0,(E58-N58)-F57))</f>
        <v>0</v>
      </c>
      <c r="H58" s="17" t="n">
        <f aca="false">MAX(0,H57-$B$8-MAX(0,(E58-N58)-F57-G57))</f>
        <v>0</v>
      </c>
      <c r="I58" s="17" t="n">
        <f aca="false">$B$11-L58</f>
        <v>0</v>
      </c>
      <c r="J58" s="17" t="n">
        <f aca="false">MAX(0,J57*(1+$B$6/12)-IF(J57&gt;0,$B$7,0)-MAX(0,M58-(L58-(L57+N58))))</f>
        <v>0</v>
      </c>
      <c r="K58" s="45" t="str">
        <f aca="false">IF(AND(F58=0,G58=0,H58=0,I58&lt;=0,J58=0),"✓","")</f>
        <v>✓</v>
      </c>
      <c r="L58" s="46" t="n">
        <f aca="false">MIN($B$11,L57+N58+M58)</f>
        <v>750</v>
      </c>
      <c r="M58" s="46" t="n">
        <f aca="false">MAX(0,(E58-N58)-F57-G57-MAX(0,H57-$B$8))</f>
        <v>455.49</v>
      </c>
      <c r="N58" s="46" t="n">
        <f aca="false">MIN(E58,MAX(0,$B$10-L57))</f>
        <v>0</v>
      </c>
    </row>
    <row r="59" customFormat="false" ht="15" hidden="false" customHeight="false" outlineLevel="0" collapsed="false">
      <c r="A59" s="42" t="n">
        <v>47543</v>
      </c>
      <c r="B59" s="43" t="n">
        <f aca="false">$B$5</f>
        <v>127</v>
      </c>
      <c r="C59" s="18"/>
      <c r="D59" s="18"/>
      <c r="E59" s="44" t="n">
        <f aca="false">IF(ISBLANK(C59),B59,C59)+IF(ISBLANK(D59),0,D59)+IF(A59&gt;=DATE(2027,2,1),96.24,0)+IF(A59&gt;=DATE(2027,3,1),18.17,0)+IF(J58&lt;=0,$B$7,0)+IF(G58&lt;=0,$B$9,0)+IF(H58&lt;=0,$B$8,0)</f>
        <v>455.49</v>
      </c>
      <c r="F59" s="17" t="n">
        <f aca="false">MAX(0,F58-(E59-N59))</f>
        <v>0</v>
      </c>
      <c r="G59" s="17" t="n">
        <f aca="false">MAX(0,G58-$B$9-MAX(0,(E59-N59)-F58))</f>
        <v>0</v>
      </c>
      <c r="H59" s="17" t="n">
        <f aca="false">MAX(0,H58-$B$8-MAX(0,(E59-N59)-F58-G58))</f>
        <v>0</v>
      </c>
      <c r="I59" s="17" t="n">
        <f aca="false">$B$11-L59</f>
        <v>0</v>
      </c>
      <c r="J59" s="17" t="n">
        <f aca="false">MAX(0,J58*(1+$B$6/12)-IF(J58&gt;0,$B$7,0)-MAX(0,M59-(L59-(L58+N59))))</f>
        <v>0</v>
      </c>
      <c r="K59" s="45" t="str">
        <f aca="false">IF(AND(F59=0,G59=0,H59=0,I59&lt;=0,J59=0),"✓","")</f>
        <v>✓</v>
      </c>
      <c r="L59" s="46" t="n">
        <f aca="false">MIN($B$11,L58+N59+M59)</f>
        <v>750</v>
      </c>
      <c r="M59" s="46" t="n">
        <f aca="false">MAX(0,(E59-N59)-F58-G58-MAX(0,H58-$B$8))</f>
        <v>455.49</v>
      </c>
      <c r="N59" s="46" t="n">
        <f aca="false">MIN(E59,MAX(0,$B$10-L58))</f>
        <v>0</v>
      </c>
    </row>
    <row r="60" customFormat="false" ht="15" hidden="false" customHeight="false" outlineLevel="0" collapsed="false">
      <c r="A60" s="42" t="n">
        <v>47574</v>
      </c>
      <c r="B60" s="43" t="n">
        <f aca="false">$B$5</f>
        <v>127</v>
      </c>
      <c r="C60" s="18"/>
      <c r="D60" s="18"/>
      <c r="E60" s="44" t="n">
        <f aca="false">IF(ISBLANK(C60),B60,C60)+IF(ISBLANK(D60),0,D60)+IF(A60&gt;=DATE(2027,2,1),96.24,0)+IF(A60&gt;=DATE(2027,3,1),18.17,0)+IF(J59&lt;=0,$B$7,0)+IF(G59&lt;=0,$B$9,0)+IF(H59&lt;=0,$B$8,0)</f>
        <v>455.49</v>
      </c>
      <c r="F60" s="17" t="n">
        <f aca="false">MAX(0,F59-(E60-N60))</f>
        <v>0</v>
      </c>
      <c r="G60" s="17" t="n">
        <f aca="false">MAX(0,G59-$B$9-MAX(0,(E60-N60)-F59))</f>
        <v>0</v>
      </c>
      <c r="H60" s="17" t="n">
        <f aca="false">MAX(0,H59-$B$8-MAX(0,(E60-N60)-F59-G59))</f>
        <v>0</v>
      </c>
      <c r="I60" s="17" t="n">
        <f aca="false">$B$11-L60</f>
        <v>0</v>
      </c>
      <c r="J60" s="17" t="n">
        <f aca="false">MAX(0,J59*(1+$B$6/12)-IF(J59&gt;0,$B$7,0)-MAX(0,M60-(L60-(L59+N60))))</f>
        <v>0</v>
      </c>
      <c r="K60" s="45" t="str">
        <f aca="false">IF(AND(F60=0,G60=0,H60=0,I60&lt;=0,J60=0),"✓","")</f>
        <v>✓</v>
      </c>
      <c r="L60" s="46" t="n">
        <f aca="false">MIN($B$11,L59+N60+M60)</f>
        <v>750</v>
      </c>
      <c r="M60" s="46" t="n">
        <f aca="false">MAX(0,(E60-N60)-F59-G59-MAX(0,H59-$B$8))</f>
        <v>455.49</v>
      </c>
      <c r="N60" s="46" t="n">
        <f aca="false">MIN(E60,MAX(0,$B$10-L59))</f>
        <v>0</v>
      </c>
    </row>
    <row r="61" customFormat="false" ht="15" hidden="false" customHeight="false" outlineLevel="0" collapsed="false">
      <c r="A61" s="42" t="n">
        <v>47604</v>
      </c>
      <c r="B61" s="43" t="n">
        <f aca="false">$B$5</f>
        <v>127</v>
      </c>
      <c r="C61" s="18"/>
      <c r="D61" s="18"/>
      <c r="E61" s="44" t="n">
        <f aca="false">IF(ISBLANK(C61),B61,C61)+IF(ISBLANK(D61),0,D61)+IF(A61&gt;=DATE(2027,2,1),96.24,0)+IF(A61&gt;=DATE(2027,3,1),18.17,0)+IF(J60&lt;=0,$B$7,0)+IF(G60&lt;=0,$B$9,0)+IF(H60&lt;=0,$B$8,0)</f>
        <v>455.49</v>
      </c>
      <c r="F61" s="17" t="n">
        <f aca="false">MAX(0,F60-(E61-N61))</f>
        <v>0</v>
      </c>
      <c r="G61" s="17" t="n">
        <f aca="false">MAX(0,G60-$B$9-MAX(0,(E61-N61)-F60))</f>
        <v>0</v>
      </c>
      <c r="H61" s="17" t="n">
        <f aca="false">MAX(0,H60-$B$8-MAX(0,(E61-N61)-F60-G60))</f>
        <v>0</v>
      </c>
      <c r="I61" s="17" t="n">
        <f aca="false">$B$11-L61</f>
        <v>0</v>
      </c>
      <c r="J61" s="17" t="n">
        <f aca="false">MAX(0,J60*(1+$B$6/12)-IF(J60&gt;0,$B$7,0)-MAX(0,M61-(L61-(L60+N61))))</f>
        <v>0</v>
      </c>
      <c r="K61" s="45" t="str">
        <f aca="false">IF(AND(F61=0,G61=0,H61=0,I61&lt;=0,J61=0),"✓","")</f>
        <v>✓</v>
      </c>
      <c r="L61" s="46" t="n">
        <f aca="false">MIN($B$11,L60+N61+M61)</f>
        <v>750</v>
      </c>
      <c r="M61" s="46" t="n">
        <f aca="false">MAX(0,(E61-N61)-F60-G60-MAX(0,H60-$B$8))</f>
        <v>455.49</v>
      </c>
      <c r="N61" s="46" t="n">
        <f aca="false">MIN(E61,MAX(0,$B$10-L60))</f>
        <v>0</v>
      </c>
    </row>
    <row r="62" customFormat="false" ht="15" hidden="false" customHeight="false" outlineLevel="0" collapsed="false">
      <c r="A62" s="42" t="n">
        <v>47635</v>
      </c>
      <c r="B62" s="43" t="n">
        <f aca="false">$B$5</f>
        <v>127</v>
      </c>
      <c r="C62" s="18"/>
      <c r="D62" s="18"/>
      <c r="E62" s="44" t="n">
        <f aca="false">IF(ISBLANK(C62),B62,C62)+IF(ISBLANK(D62),0,D62)+IF(A62&gt;=DATE(2027,2,1),96.24,0)+IF(A62&gt;=DATE(2027,3,1),18.17,0)+IF(J61&lt;=0,$B$7,0)+IF(G61&lt;=0,$B$9,0)+IF(H61&lt;=0,$B$8,0)</f>
        <v>455.49</v>
      </c>
      <c r="F62" s="17" t="n">
        <f aca="false">MAX(0,F61-(E62-N62))</f>
        <v>0</v>
      </c>
      <c r="G62" s="17" t="n">
        <f aca="false">MAX(0,G61-$B$9-MAX(0,(E62-N62)-F61))</f>
        <v>0</v>
      </c>
      <c r="H62" s="17" t="n">
        <f aca="false">MAX(0,H61-$B$8-MAX(0,(E62-N62)-F61-G61))</f>
        <v>0</v>
      </c>
      <c r="I62" s="17" t="n">
        <f aca="false">$B$11-L62</f>
        <v>0</v>
      </c>
      <c r="J62" s="17" t="n">
        <f aca="false">MAX(0,J61*(1+$B$6/12)-IF(J61&gt;0,$B$7,0)-MAX(0,M62-(L62-(L61+N62))))</f>
        <v>0</v>
      </c>
      <c r="K62" s="45" t="str">
        <f aca="false">IF(AND(F62=0,G62=0,H62=0,I62&lt;=0,J62=0),"✓","")</f>
        <v>✓</v>
      </c>
      <c r="L62" s="46" t="n">
        <f aca="false">MIN($B$11,L61+N62+M62)</f>
        <v>750</v>
      </c>
      <c r="M62" s="46" t="n">
        <f aca="false">MAX(0,(E62-N62)-F61-G61-MAX(0,H61-$B$8))</f>
        <v>455.49</v>
      </c>
      <c r="N62" s="46" t="n">
        <f aca="false">MIN(E62,MAX(0,$B$10-L61))</f>
        <v>0</v>
      </c>
    </row>
    <row r="63" customFormat="false" ht="15" hidden="false" customHeight="false" outlineLevel="0" collapsed="false">
      <c r="A63" s="42" t="n">
        <v>47665</v>
      </c>
      <c r="B63" s="43" t="n">
        <f aca="false">$B$5</f>
        <v>127</v>
      </c>
      <c r="C63" s="18"/>
      <c r="D63" s="18"/>
      <c r="E63" s="44" t="n">
        <f aca="false">IF(ISBLANK(C63),B63,C63)+IF(ISBLANK(D63),0,D63)+IF(A63&gt;=DATE(2027,2,1),96.24,0)+IF(A63&gt;=DATE(2027,3,1),18.17,0)+IF(J62&lt;=0,$B$7,0)+IF(G62&lt;=0,$B$9,0)+IF(H62&lt;=0,$B$8,0)</f>
        <v>455.49</v>
      </c>
      <c r="F63" s="17" t="n">
        <f aca="false">MAX(0,F62-(E63-N63))</f>
        <v>0</v>
      </c>
      <c r="G63" s="17" t="n">
        <f aca="false">MAX(0,G62-$B$9-MAX(0,(E63-N63)-F62))</f>
        <v>0</v>
      </c>
      <c r="H63" s="17" t="n">
        <f aca="false">MAX(0,H62-$B$8-MAX(0,(E63-N63)-F62-G62))</f>
        <v>0</v>
      </c>
      <c r="I63" s="17" t="n">
        <f aca="false">$B$11-L63</f>
        <v>0</v>
      </c>
      <c r="J63" s="17" t="n">
        <f aca="false">MAX(0,J62*(1+$B$6/12)-IF(J62&gt;0,$B$7,0)-MAX(0,M63-(L63-(L62+N63))))</f>
        <v>0</v>
      </c>
      <c r="K63" s="45" t="str">
        <f aca="false">IF(AND(F63=0,G63=0,H63=0,I63&lt;=0,J63=0),"✓","")</f>
        <v>✓</v>
      </c>
      <c r="L63" s="46" t="n">
        <f aca="false">MIN($B$11,L62+N63+M63)</f>
        <v>750</v>
      </c>
      <c r="M63" s="46" t="n">
        <f aca="false">MAX(0,(E63-N63)-F62-G62-MAX(0,H62-$B$8))</f>
        <v>455.49</v>
      </c>
      <c r="N63" s="46" t="n">
        <f aca="false">MIN(E63,MAX(0,$B$10-L62))</f>
        <v>0</v>
      </c>
    </row>
    <row r="64" customFormat="false" ht="15" hidden="false" customHeight="false" outlineLevel="0" collapsed="false">
      <c r="A64" s="42" t="n">
        <v>47696</v>
      </c>
      <c r="B64" s="43" t="n">
        <f aca="false">$B$5</f>
        <v>127</v>
      </c>
      <c r="C64" s="18"/>
      <c r="D64" s="18"/>
      <c r="E64" s="44" t="n">
        <f aca="false">IF(ISBLANK(C64),B64,C64)+IF(ISBLANK(D64),0,D64)+IF(A64&gt;=DATE(2027,2,1),96.24,0)+IF(A64&gt;=DATE(2027,3,1),18.17,0)+IF(J63&lt;=0,$B$7,0)+IF(G63&lt;=0,$B$9,0)+IF(H63&lt;=0,$B$8,0)</f>
        <v>455.49</v>
      </c>
      <c r="F64" s="17" t="n">
        <f aca="false">MAX(0,F63-(E64-N64))</f>
        <v>0</v>
      </c>
      <c r="G64" s="17" t="n">
        <f aca="false">MAX(0,G63-$B$9-MAX(0,(E64-N64)-F63))</f>
        <v>0</v>
      </c>
      <c r="H64" s="17" t="n">
        <f aca="false">MAX(0,H63-$B$8-MAX(0,(E64-N64)-F63-G63))</f>
        <v>0</v>
      </c>
      <c r="I64" s="17" t="n">
        <f aca="false">$B$11-L64</f>
        <v>0</v>
      </c>
      <c r="J64" s="17" t="n">
        <f aca="false">MAX(0,J63*(1+$B$6/12)-IF(J63&gt;0,$B$7,0)-MAX(0,M64-(L64-(L63+N64))))</f>
        <v>0</v>
      </c>
      <c r="K64" s="45" t="str">
        <f aca="false">IF(AND(F64=0,G64=0,H64=0,I64&lt;=0,J64=0),"✓","")</f>
        <v>✓</v>
      </c>
      <c r="L64" s="46" t="n">
        <f aca="false">MIN($B$11,L63+N64+M64)</f>
        <v>750</v>
      </c>
      <c r="M64" s="46" t="n">
        <f aca="false">MAX(0,(E64-N64)-F63-G63-MAX(0,H63-$B$8))</f>
        <v>455.49</v>
      </c>
      <c r="N64" s="46" t="n">
        <f aca="false">MIN(E64,MAX(0,$B$10-L63))</f>
        <v>0</v>
      </c>
    </row>
    <row r="65" customFormat="false" ht="15" hidden="false" customHeight="false" outlineLevel="0" collapsed="false">
      <c r="A65" s="42" t="n">
        <v>47727</v>
      </c>
      <c r="B65" s="43" t="n">
        <f aca="false">$B$5</f>
        <v>127</v>
      </c>
      <c r="C65" s="18"/>
      <c r="D65" s="18"/>
      <c r="E65" s="44" t="n">
        <f aca="false">IF(ISBLANK(C65),B65,C65)+IF(ISBLANK(D65),0,D65)+IF(A65&gt;=DATE(2027,2,1),96.24,0)+IF(A65&gt;=DATE(2027,3,1),18.17,0)+IF(J64&lt;=0,$B$7,0)+IF(G64&lt;=0,$B$9,0)+IF(H64&lt;=0,$B$8,0)</f>
        <v>455.49</v>
      </c>
      <c r="F65" s="17" t="n">
        <f aca="false">MAX(0,F64-(E65-N65))</f>
        <v>0</v>
      </c>
      <c r="G65" s="17" t="n">
        <f aca="false">MAX(0,G64-$B$9-MAX(0,(E65-N65)-F64))</f>
        <v>0</v>
      </c>
      <c r="H65" s="17" t="n">
        <f aca="false">MAX(0,H64-$B$8-MAX(0,(E65-N65)-F64-G64))</f>
        <v>0</v>
      </c>
      <c r="I65" s="17" t="n">
        <f aca="false">$B$11-L65</f>
        <v>0</v>
      </c>
      <c r="J65" s="17" t="n">
        <f aca="false">MAX(0,J64*(1+$B$6/12)-IF(J64&gt;0,$B$7,0)-MAX(0,M65-(L65-(L64+N65))))</f>
        <v>0</v>
      </c>
      <c r="K65" s="45" t="str">
        <f aca="false">IF(AND(F65=0,G65=0,H65=0,I65&lt;=0,J65=0),"✓","")</f>
        <v>✓</v>
      </c>
      <c r="L65" s="46" t="n">
        <f aca="false">MIN($B$11,L64+N65+M65)</f>
        <v>750</v>
      </c>
      <c r="M65" s="46" t="n">
        <f aca="false">MAX(0,(E65-N65)-F64-G64-MAX(0,H64-$B$8))</f>
        <v>455.49</v>
      </c>
      <c r="N65" s="46" t="n">
        <f aca="false">MIN(E65,MAX(0,$B$10-L64))</f>
        <v>0</v>
      </c>
    </row>
    <row r="66" customFormat="false" ht="15" hidden="false" customHeight="false" outlineLevel="0" collapsed="false">
      <c r="A66" s="42" t="n">
        <v>47757</v>
      </c>
      <c r="B66" s="43" t="n">
        <f aca="false">$B$5</f>
        <v>127</v>
      </c>
      <c r="C66" s="18"/>
      <c r="D66" s="18"/>
      <c r="E66" s="44" t="n">
        <f aca="false">IF(ISBLANK(C66),B66,C66)+IF(ISBLANK(D66),0,D66)+IF(A66&gt;=DATE(2027,2,1),96.24,0)+IF(A66&gt;=DATE(2027,3,1),18.17,0)+IF(J65&lt;=0,$B$7,0)+IF(G65&lt;=0,$B$9,0)+IF(H65&lt;=0,$B$8,0)</f>
        <v>455.49</v>
      </c>
      <c r="F66" s="17" t="n">
        <f aca="false">MAX(0,F65-(E66-N66))</f>
        <v>0</v>
      </c>
      <c r="G66" s="17" t="n">
        <f aca="false">MAX(0,G65-$B$9-MAX(0,(E66-N66)-F65))</f>
        <v>0</v>
      </c>
      <c r="H66" s="17" t="n">
        <f aca="false">MAX(0,H65-$B$8-MAX(0,(E66-N66)-F65-G65))</f>
        <v>0</v>
      </c>
      <c r="I66" s="17" t="n">
        <f aca="false">$B$11-L66</f>
        <v>0</v>
      </c>
      <c r="J66" s="17" t="n">
        <f aca="false">MAX(0,J65*(1+$B$6/12)-IF(J65&gt;0,$B$7,0)-MAX(0,M66-(L66-(L65+N66))))</f>
        <v>0</v>
      </c>
      <c r="K66" s="45" t="str">
        <f aca="false">IF(AND(F66=0,G66=0,H66=0,I66&lt;=0,J66=0),"✓","")</f>
        <v>✓</v>
      </c>
      <c r="L66" s="46" t="n">
        <f aca="false">MIN($B$11,L65+N66+M66)</f>
        <v>750</v>
      </c>
      <c r="M66" s="46" t="n">
        <f aca="false">MAX(0,(E66-N66)-F65-G65-MAX(0,H65-$B$8))</f>
        <v>455.49</v>
      </c>
      <c r="N66" s="46" t="n">
        <f aca="false">MIN(E66,MAX(0,$B$10-L65))</f>
        <v>0</v>
      </c>
    </row>
    <row r="67" customFormat="false" ht="15" hidden="false" customHeight="false" outlineLevel="0" collapsed="false">
      <c r="A67" s="42" t="n">
        <v>47788</v>
      </c>
      <c r="B67" s="43" t="n">
        <f aca="false">$B$5</f>
        <v>127</v>
      </c>
      <c r="C67" s="18"/>
      <c r="D67" s="18"/>
      <c r="E67" s="44" t="n">
        <f aca="false">IF(ISBLANK(C67),B67,C67)+IF(ISBLANK(D67),0,D67)+IF(A67&gt;=DATE(2027,2,1),96.24,0)+IF(A67&gt;=DATE(2027,3,1),18.17,0)+IF(J66&lt;=0,$B$7,0)+IF(G66&lt;=0,$B$9,0)+IF(H66&lt;=0,$B$8,0)</f>
        <v>455.49</v>
      </c>
      <c r="F67" s="17" t="n">
        <f aca="false">MAX(0,F66-(E67-N67))</f>
        <v>0</v>
      </c>
      <c r="G67" s="17" t="n">
        <f aca="false">MAX(0,G66-$B$9-MAX(0,(E67-N67)-F66))</f>
        <v>0</v>
      </c>
      <c r="H67" s="17" t="n">
        <f aca="false">MAX(0,H66-$B$8-MAX(0,(E67-N67)-F66-G66))</f>
        <v>0</v>
      </c>
      <c r="I67" s="17" t="n">
        <f aca="false">$B$11-L67</f>
        <v>0</v>
      </c>
      <c r="J67" s="17" t="n">
        <f aca="false">MAX(0,J66*(1+$B$6/12)-IF(J66&gt;0,$B$7,0)-MAX(0,M67-(L67-(L66+N67))))</f>
        <v>0</v>
      </c>
      <c r="K67" s="45" t="str">
        <f aca="false">IF(AND(F67=0,G67=0,H67=0,I67&lt;=0,J67=0),"✓","")</f>
        <v>✓</v>
      </c>
      <c r="L67" s="46" t="n">
        <f aca="false">MIN($B$11,L66+N67+M67)</f>
        <v>750</v>
      </c>
      <c r="M67" s="46" t="n">
        <f aca="false">MAX(0,(E67-N67)-F66-G66-MAX(0,H66-$B$8))</f>
        <v>455.49</v>
      </c>
      <c r="N67" s="46" t="n">
        <f aca="false">MIN(E67,MAX(0,$B$10-L66))</f>
        <v>0</v>
      </c>
    </row>
    <row r="68" customFormat="false" ht="15" hidden="false" customHeight="false" outlineLevel="0" collapsed="false">
      <c r="A68" s="42" t="n">
        <v>47818</v>
      </c>
      <c r="B68" s="43" t="n">
        <f aca="false">$B$5</f>
        <v>127</v>
      </c>
      <c r="C68" s="18"/>
      <c r="D68" s="18"/>
      <c r="E68" s="44" t="n">
        <f aca="false">IF(ISBLANK(C68),B68,C68)+IF(ISBLANK(D68),0,D68)+IF(A68&gt;=DATE(2027,2,1),96.24,0)+IF(A68&gt;=DATE(2027,3,1),18.17,0)+IF(J67&lt;=0,$B$7,0)+IF(G67&lt;=0,$B$9,0)+IF(H67&lt;=0,$B$8,0)</f>
        <v>455.49</v>
      </c>
      <c r="F68" s="17" t="n">
        <f aca="false">MAX(0,F67-(E68-N68))</f>
        <v>0</v>
      </c>
      <c r="G68" s="17" t="n">
        <f aca="false">MAX(0,G67-$B$9-MAX(0,(E68-N68)-F67))</f>
        <v>0</v>
      </c>
      <c r="H68" s="17" t="n">
        <f aca="false">MAX(0,H67-$B$8-MAX(0,(E68-N68)-F67-G67))</f>
        <v>0</v>
      </c>
      <c r="I68" s="17" t="n">
        <f aca="false">$B$11-L68</f>
        <v>0</v>
      </c>
      <c r="J68" s="17" t="n">
        <f aca="false">MAX(0,J67*(1+$B$6/12)-IF(J67&gt;0,$B$7,0)-MAX(0,M68-(L68-(L67+N68))))</f>
        <v>0</v>
      </c>
      <c r="K68" s="45" t="str">
        <f aca="false">IF(AND(F68=0,G68=0,H68=0,I68&lt;=0,J68=0),"✓","")</f>
        <v>✓</v>
      </c>
      <c r="L68" s="46" t="n">
        <f aca="false">MIN($B$11,L67+N68+M68)</f>
        <v>750</v>
      </c>
      <c r="M68" s="46" t="n">
        <f aca="false">MAX(0,(E68-N68)-F67-G67-MAX(0,H67-$B$8))</f>
        <v>455.49</v>
      </c>
      <c r="N68" s="46" t="n">
        <f aca="false">MIN(E68,MAX(0,$B$10-L67))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14" t="s">
        <v>141</v>
      </c>
      <c r="B4" s="15"/>
    </row>
    <row r="5" customFormat="false" ht="15" hidden="false" customHeight="false" outlineLevel="0" collapsed="false">
      <c r="A5" s="3" t="s">
        <v>142</v>
      </c>
      <c r="B5" s="8" t="n">
        <f aca="false">'Tiers 1 &amp; 2 budget'!B4</f>
        <v>2068</v>
      </c>
    </row>
    <row r="6" customFormat="false" ht="15" hidden="false" customHeight="false" outlineLevel="0" collapsed="false">
      <c r="A6" s="6" t="s">
        <v>143</v>
      </c>
      <c r="B6" s="7" t="n">
        <f aca="false">'Tiers 1 &amp; 2 budget'!B51+'Tiers 1 &amp; 2 budget'!B81</f>
        <v>2285.58</v>
      </c>
    </row>
    <row r="7" customFormat="false" ht="15" hidden="false" customHeight="false" outlineLevel="0" collapsed="false">
      <c r="A7" s="6" t="s">
        <v>144</v>
      </c>
      <c r="B7" s="7" t="n">
        <f aca="false">-'Tiers 1 &amp; 2 budget'!B34</f>
        <v>-328.49</v>
      </c>
    </row>
    <row r="8" customFormat="false" ht="15" hidden="false" customHeight="false" outlineLevel="0" collapsed="false">
      <c r="A8" s="6" t="s">
        <v>145</v>
      </c>
      <c r="B8" s="7" t="n">
        <f aca="false">-'Tiers 1 &amp; 2 budget'!B74</f>
        <v>-20</v>
      </c>
    </row>
    <row r="9" customFormat="false" ht="15" hidden="false" customHeight="false" outlineLevel="0" collapsed="false">
      <c r="A9" s="22" t="s">
        <v>146</v>
      </c>
      <c r="B9" s="23" t="n">
        <f aca="false">B6+B7+B8</f>
        <v>1937.09</v>
      </c>
    </row>
    <row r="10" customFormat="false" ht="15" hidden="false" customHeight="false" outlineLevel="0" collapsed="false">
      <c r="A10" s="30" t="s">
        <v>147</v>
      </c>
      <c r="B10" s="31" t="n">
        <f aca="false">B5-B9</f>
        <v>130.91</v>
      </c>
    </row>
    <row r="12" customFormat="false" ht="15" hidden="false" customHeight="false" outlineLevel="0" collapsed="false">
      <c r="A12" s="25" t="s">
        <v>148</v>
      </c>
      <c r="B12" s="26"/>
    </row>
    <row r="13" customFormat="false" ht="15" hidden="false" customHeight="false" outlineLevel="0" collapsed="false">
      <c r="A13" s="6" t="s">
        <v>149</v>
      </c>
      <c r="B13" s="4" t="n">
        <v>250</v>
      </c>
    </row>
    <row r="14" customFormat="false" ht="15" hidden="false" customHeight="false" outlineLevel="0" collapsed="false">
      <c r="A14" s="47" t="s">
        <v>150</v>
      </c>
      <c r="B14" s="48" t="n">
        <f aca="false">B13</f>
        <v>250</v>
      </c>
    </row>
    <row r="16" customFormat="false" ht="15" hidden="false" customHeight="false" outlineLevel="0" collapsed="false">
      <c r="A16" s="30" t="s">
        <v>151</v>
      </c>
      <c r="B16" s="32"/>
    </row>
    <row r="17" customFormat="false" ht="15" hidden="false" customHeight="false" outlineLevel="0" collapsed="false">
      <c r="A17" s="49" t="s">
        <v>152</v>
      </c>
      <c r="B17" s="50" t="n">
        <f aca="false">B10+B13</f>
        <v>380.91</v>
      </c>
    </row>
    <row r="18" customFormat="false" ht="15" hidden="false" customHeight="false" outlineLevel="0" collapsed="false">
      <c r="A18" s="49" t="s">
        <v>153</v>
      </c>
      <c r="B18" s="50" t="n">
        <f aca="false">B17*12</f>
        <v>4570.92</v>
      </c>
    </row>
    <row r="20" customFormat="false" ht="15" hidden="false" customHeight="false" outlineLevel="0" collapsed="false">
      <c r="A20" s="51" t="s">
        <v>154</v>
      </c>
    </row>
    <row r="21" customFormat="false" ht="23.85" hidden="false" customHeight="false" outlineLevel="0" collapsed="false">
      <c r="A21" s="52" t="s">
        <v>155</v>
      </c>
    </row>
    <row r="22" customFormat="false" ht="23.85" hidden="false" customHeight="false" outlineLevel="0" collapsed="false">
      <c r="A22" s="52" t="s">
        <v>156</v>
      </c>
    </row>
    <row r="23" customFormat="false" ht="35.05" hidden="false" customHeight="false" outlineLevel="0" collapsed="false">
      <c r="A23" s="5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2026-07-07T13:13:18Z</dcterms:created>
  <dc:creator>openpyxl</dc:creator>
  <dc:description/>
  <dc:language>en-US</dc:language>
  <cp:lastModifiedBy/>
  <dcterms:modified xsi:type="dcterms:W3CDTF">2026-07-07T13:13:18Z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