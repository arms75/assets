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iers 1 &amp; 2 budget" sheetId="1" state="visible" r:id="rId3"/>
    <sheet name="Tier 3 — Second-job plan" sheetId="2" state="visible" r:id="rId4"/>
    <sheet name="Post-2029 saving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<sst xmlns="http://schemas.openxmlformats.org/spreadsheetml/2006/main" count="159" uniqueCount="153">
  <si>
    <t xml:space="preserve">Three-tier budget</t>
  </si>
  <si>
    <t xml:space="preserve">Matches your live YNAB targets (monthly-equivalent figures). 🟩 Tier 1 = base wages cover it; 🟧 Tier 2 = part base, part trim/second income; 🟪 Tier 3 lives on its own sheet.</t>
  </si>
  <si>
    <t xml:space="preserve">Guaranteed monthly income (base wages)</t>
  </si>
  <si>
    <t xml:space="preserve">WHAT-IF — trim Tier 2 (edit blue “New”, set 0 to cut)</t>
  </si>
  <si>
    <t xml:space="preserve">Tier 1 costs</t>
  </si>
  <si>
    <t xml:space="preserve">Tier 2 beyond base</t>
  </si>
  <si>
    <t xml:space="preserve">Base wages left for Tier 2</t>
  </si>
  <si>
    <t xml:space="preserve">Trimmed away</t>
  </si>
  <si>
    <t xml:space="preserve">Tier 2 costs</t>
  </si>
  <si>
    <t xml:space="preserve">Revised gap</t>
  </si>
  <si>
    <t xml:space="preserve">Tier 2 beyond base wages</t>
  </si>
  <si>
    <t xml:space="preserve">Status</t>
  </si>
  <si>
    <t xml:space="preserve">Category</t>
  </si>
  <si>
    <t xml:space="preserve">Monthly</t>
  </si>
  <si>
    <t xml:space="preserve">Live YNAB target (if not monthly)</t>
  </si>
  <si>
    <t xml:space="preserve">Tier 2 line</t>
  </si>
  <si>
    <t xml:space="preserve">Current</t>
  </si>
  <si>
    <t xml:space="preserve">New</t>
  </si>
  <si>
    <t xml:space="preserve">Saves</t>
  </si>
  <si>
    <t xml:space="preserve">🟩 TIER 1 — covered by base wages</t>
  </si>
  <si>
    <t xml:space="preserve">Bills</t>
  </si>
  <si>
    <t xml:space="preserve">Rent</t>
  </si>
  <si>
    <t xml:space="preserve">Council Tax</t>
  </si>
  <si>
    <t xml:space="preserve">YNAB: £1,096.46 yearly</t>
  </si>
  <si>
    <t xml:space="preserve">Energy</t>
  </si>
  <si>
    <t xml:space="preserve">Water</t>
  </si>
  <si>
    <t xml:space="preserve">Internet</t>
  </si>
  <si>
    <t xml:space="preserve">Insurance</t>
  </si>
  <si>
    <t xml:space="preserve">Prescription</t>
  </si>
  <si>
    <t xml:space="preserve">GiffGaff</t>
  </si>
  <si>
    <t xml:space="preserve">Animal Healthcare</t>
  </si>
  <si>
    <t xml:space="preserve">Wolfie Food</t>
  </si>
  <si>
    <t xml:space="preserve">YNAB: £12.42 every 2 months</t>
  </si>
  <si>
    <t xml:space="preserve">Breakdown Cover</t>
  </si>
  <si>
    <t xml:space="preserve">YNAB: £23.88 yearly</t>
  </si>
  <si>
    <t xml:space="preserve">Subtotal — Bills</t>
  </si>
  <si>
    <t xml:space="preserve">Debts</t>
  </si>
  <si>
    <t xml:space="preserve">Monzo Loan</t>
  </si>
  <si>
    <t xml:space="preserve">Car Loan</t>
  </si>
  <si>
    <t xml:space="preserve">Santander CC</t>
  </si>
  <si>
    <t xml:space="preserve">Washing Machine</t>
  </si>
  <si>
    <t xml:space="preserve">Subtotal — Debts</t>
  </si>
  <si>
    <t xml:space="preserve">Required / Yearly Subs</t>
  </si>
  <si>
    <t xml:space="preserve">Moleskin</t>
  </si>
  <si>
    <t xml:space="preserve">YNAB: £24.99 yearly</t>
  </si>
  <si>
    <t xml:space="preserve">SECOND-JOB ALLOCATOR</t>
  </si>
  <si>
    <t xml:space="preserve">per month</t>
  </si>
  <si>
    <t xml:space="preserve">Charities</t>
  </si>
  <si>
    <t xml:space="preserve">Second-job income this month</t>
  </si>
  <si>
    <t xml:space="preserve">YNAB</t>
  </si>
  <si>
    <t xml:space="preserve">Tier 2 gap still to cover</t>
  </si>
  <si>
    <t xml:space="preserve">HBO/NOW</t>
  </si>
  <si>
    <t xml:space="preserve">→ Covers the Tier 2 gap</t>
  </si>
  <si>
    <t xml:space="preserve">Edge CC</t>
  </si>
  <si>
    <t xml:space="preserve">→ Lands on Tier 3</t>
  </si>
  <si>
    <t xml:space="preserve">Microsoft365</t>
  </si>
  <si>
    <t xml:space="preserve">iCloud</t>
  </si>
  <si>
    <t xml:space="preserve">Tip: trim Tier 2 above and the gap shrinks, so more of this income lands on Tier 3.</t>
  </si>
  <si>
    <t xml:space="preserve">Subtotal — Required / Yearly Subs</t>
  </si>
  <si>
    <t xml:space="preserve">Adjustable Needs</t>
  </si>
  <si>
    <t xml:space="preserve">Groceries</t>
  </si>
  <si>
    <t xml:space="preserve">Personal care</t>
  </si>
  <si>
    <t xml:space="preserve">Fuel</t>
  </si>
  <si>
    <t xml:space="preserve">Household Expenses</t>
  </si>
  <si>
    <t xml:space="preserve">Cat Litter</t>
  </si>
  <si>
    <t xml:space="preserve">Subtotal — Adjustable Needs</t>
  </si>
  <si>
    <t xml:space="preserve">TIER 1 TOTAL (base wages cover this)</t>
  </si>
  <si>
    <t xml:space="preserve">🟧 TIER 2 — part base wages, part trim / second income</t>
  </si>
  <si>
    <t xml:space="preserve">Adjustable Wants</t>
  </si>
  <si>
    <t xml:space="preserve">Takeout</t>
  </si>
  <si>
    <t xml:space="preserve">Spending Money</t>
  </si>
  <si>
    <t xml:space="preserve">Outside Time</t>
  </si>
  <si>
    <t xml:space="preserve">Stuff I forgot to plan for</t>
  </si>
  <si>
    <t xml:space="preserve">Haircut</t>
  </si>
  <si>
    <t xml:space="preserve">YNAB: £60 every 2 months</t>
  </si>
  <si>
    <t xml:space="preserve">Molly Birthday</t>
  </si>
  <si>
    <t xml:space="preserve">YNAB: £150 yearly</t>
  </si>
  <si>
    <t xml:space="preserve">Subtotal — Adjustable Wants</t>
  </si>
  <si>
    <t xml:space="preserve">Subscriptions</t>
  </si>
  <si>
    <t xml:space="preserve">Anthropic</t>
  </si>
  <si>
    <t xml:space="preserve">Wavy</t>
  </si>
  <si>
    <t xml:space="preserve">YNAB: £19.80 every 2 months</t>
  </si>
  <si>
    <t xml:space="preserve">Suri</t>
  </si>
  <si>
    <t xml:space="preserve">YNAB: £10.97 every 3 months</t>
  </si>
  <si>
    <t xml:space="preserve">MacroFactor</t>
  </si>
  <si>
    <t xml:space="preserve">YNAB: £89.99 yearly</t>
  </si>
  <si>
    <t xml:space="preserve">Tidal</t>
  </si>
  <si>
    <t xml:space="preserve">Audible</t>
  </si>
  <si>
    <t xml:space="preserve">YNAB: £69.99 yearly</t>
  </si>
  <si>
    <t xml:space="preserve">Game Pass</t>
  </si>
  <si>
    <t xml:space="preserve">ESO</t>
  </si>
  <si>
    <t xml:space="preserve">Monzo+</t>
  </si>
  <si>
    <t xml:space="preserve">Subtotal — Subscriptions</t>
  </si>
  <si>
    <t xml:space="preserve">Savings</t>
  </si>
  <si>
    <t xml:space="preserve">Lloyds Savings</t>
  </si>
  <si>
    <t xml:space="preserve">Subtotal — Savings</t>
  </si>
  <si>
    <t xml:space="preserve">Non-Monthly Expenses</t>
  </si>
  <si>
    <t xml:space="preserve">MOT + Service</t>
  </si>
  <si>
    <t xml:space="preserve">YNAB: £300 yearly</t>
  </si>
  <si>
    <t xml:space="preserve">Christmas</t>
  </si>
  <si>
    <t xml:space="preserve">Birthdays/Presents</t>
  </si>
  <si>
    <t xml:space="preserve">YNAB: £100 yearly</t>
  </si>
  <si>
    <t xml:space="preserve">Subtotal — Non-Monthly Expenses</t>
  </si>
  <si>
    <t xml:space="preserve">TIER 2 TOTAL</t>
  </si>
  <si>
    <t xml:space="preserve">🟪 Tier 3 — what the second job funds</t>
  </si>
  <si>
    <t xml:space="preserve">The payoff route. Your live plan currently has the Emergency Buffer set up as goal 1 (£750 by Oct 2026, matches below). Edit the blue inputs.</t>
  </si>
  <si>
    <t xml:space="preserve">ASSUMPTIONS (edit these)</t>
  </si>
  <si>
    <t xml:space="preserve">Average 2nd-job income directed here (£/mo)</t>
  </si>
  <si>
    <t xml:space="preserve">Plan start</t>
  </si>
  <si>
    <t xml:space="preserve">Monzo balance</t>
  </si>
  <si>
    <t xml:space="preserve">Monzo APR</t>
  </si>
  <si>
    <t xml:space="preserve">Monzo minimum (in Tier 1, £/mo)</t>
  </si>
  <si>
    <t xml:space="preserve">#</t>
  </si>
  <si>
    <t xml:space="preserve">Goal</t>
  </si>
  <si>
    <t xml:space="preserve">Target</t>
  </si>
  <si>
    <t xml:space="preserve">Monthly toward it</t>
  </si>
  <si>
    <t xml:space="preserve">Months</t>
  </si>
  <si>
    <t xml:space="preserve">Est. complete</t>
  </si>
  <si>
    <t xml:space="preserve">Deadline</t>
  </si>
  <si>
    <t xml:space="preserve">Notes</t>
  </si>
  <si>
    <t xml:space="preserve">Emergency buffer</t>
  </si>
  <si>
    <t xml:space="preserve">—</t>
  </si>
  <si>
    <t xml:space="preserve">Set up in YNAB as goal 1. Build first.</t>
  </si>
  <si>
    <t xml:space="preserve">Clear overdraft</t>
  </si>
  <si>
    <t xml:space="preserve">Next, once the buffer protects you.</t>
  </si>
  <si>
    <t xml:space="preserve">Clear Argos</t>
  </si>
  <si>
    <t xml:space="preserve">No Argos target in your live plan — if it’s already cleared, delete this row.</t>
  </si>
  <si>
    <t xml:space="preserve">Overpay Monzo loan</t>
  </si>
  <si>
    <t xml:space="preserve">Top priority while at 6.7%. Minimum keeps paying from Tier 1 too.</t>
  </si>
  <si>
    <t xml:space="preserve">Ramp up savings</t>
  </si>
  <si>
    <t xml:space="preserve">onward</t>
  </si>
  <si>
    <t xml:space="preserve">Once Monzo clears, the freed ~£419/mo redirects to savings (on top of the £20/mo Lloyds baseline).</t>
  </si>
  <si>
    <t xml:space="preserve">Argos check:</t>
  </si>
  <si>
    <t xml:space="preserve">Post-2029 scenario — once all debts are cleared</t>
  </si>
  <si>
    <t xml:space="preserve">From ~early 2029, assuming the Debts group is paid off and the rest of the budget holds steady. Pulls live from the budget sheet.</t>
  </si>
  <si>
    <t xml:space="preserve">A · FROM BASE WAGES (debts gone, spending steady)</t>
  </si>
  <si>
    <t xml:space="preserve">Guaranteed monthly income</t>
  </si>
  <si>
    <t xml:space="preserve">Tier 1 + Tier 2 budget</t>
  </si>
  <si>
    <t xml:space="preserve">   less Debts (cleared)</t>
  </si>
  <si>
    <t xml:space="preserve">   less Lloyds Savings (it IS saving)</t>
  </si>
  <si>
    <t xml:space="preserve">Living costs that remain</t>
  </si>
  <si>
    <t xml:space="preserve">Available to save from base wages</t>
  </si>
  <si>
    <t xml:space="preserve">B · FROM SECOND-JOB INCOME</t>
  </si>
  <si>
    <t xml:space="preserve">Average extra income per month</t>
  </si>
  <si>
    <t xml:space="preserve">All of it to savings</t>
  </si>
  <si>
    <t xml:space="preserve">COMBINED</t>
  </si>
  <si>
    <t xml:space="preserve">Total saved per month</t>
  </si>
  <si>
    <t xml:space="preserve">Total saved per year</t>
  </si>
  <si>
    <t xml:space="preserve">Worth remembering</t>
  </si>
  <si>
    <t xml:space="preserve">• Assumes the budget stays flat ~3 years out — bills/inflation will likely have risen, so revisit then.</t>
  </si>
  <si>
    <t xml:space="preserve">• Assumes every debt in the Debts group is cleared (Monzo, Car Loan, Santander CC, Washing Machine). Confirm the car-loan term especially; anything still running isn’t freed.</t>
  </si>
  <si>
    <t xml:space="preserve">• Uses £250 average extra income; at £275 the monthly total is about £406.</t>
  </si>
  <si>
    <t xml:space="preserve">• Genuine saving — the yearly sinking funds (MOT, Christmas, birthdays) sit in living costs above, earmarked for known bills.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</si>
</sst>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.00;&quot;(£&quot;#,##0.00\);\-"/>
    <numFmt numFmtId="166" formatCode="mmm\ yyyy"/>
    <numFmt numFmtId="167" formatCode="0.0%"/>
    <numFmt numFmtId="168" formatCode="0.0"/>
    <numFmt numFmtId="169" formatCode="dd\ mmm\ yyyy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D2B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1F3D2B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F3D2B"/>
      <name val="Arial"/>
      <family val="0"/>
      <charset val="1"/>
    </font>
    <font>
      <sz val="10"/>
      <color rgb="FF1F3D2B"/>
      <name val="Arial"/>
      <family val="0"/>
      <charset val="1"/>
    </font>
    <font>
      <b val="true"/>
      <sz val="11"/>
      <color rgb="FF7A3A1C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7A3A1C"/>
      <name val="Arial"/>
      <family val="0"/>
      <charset val="1"/>
    </font>
    <font>
      <b val="true"/>
      <sz val="12"/>
      <color rgb="FF1F3D2B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EAD7CC"/>
        <bgColor rgb="FFF3E0D2"/>
      </patternFill>
    </fill>
    <fill>
      <patternFill patternType="solid">
        <fgColor rgb="FFD7E6D2"/>
        <bgColor rgb="FFCFE0DB"/>
      </patternFill>
    </fill>
    <fill>
      <patternFill patternType="solid">
        <fgColor rgb="FFB9D0C9"/>
        <bgColor rgb="FFCFE0DB"/>
      </patternFill>
    </fill>
    <fill>
      <patternFill patternType="solid">
        <fgColor rgb="FFCFE0DB"/>
        <bgColor rgb="FFD7E6D2"/>
      </patternFill>
    </fill>
    <fill>
      <patternFill patternType="solid">
        <fgColor rgb="FFE8EDE6"/>
        <bgColor rgb="FFF0EEE6"/>
      </patternFill>
    </fill>
    <fill>
      <patternFill patternType="solid">
        <fgColor rgb="FFF0EEE6"/>
        <bgColor rgb="FFE8EDE6"/>
      </patternFill>
    </fill>
    <fill>
      <patternFill patternType="solid">
        <fgColor rgb="FFF3E0D2"/>
        <bgColor rgb="FFEAD7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0EE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9D0C9"/>
      <rgbColor rgb="FF808080"/>
      <rgbColor rgb="FF9999FF"/>
      <rgbColor rgb="FF993366"/>
      <rgbColor rgb="FFE8EDE6"/>
      <rgbColor rgb="FFCFE0D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E6D2"/>
      <rgbColor rgb="FFF3E0D2"/>
      <rgbColor rgb="FF99CCFF"/>
      <rgbColor rgb="FFFF99CC"/>
      <rgbColor rgb="FFCC99FF"/>
      <rgbColor rgb="FFEAD7C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7A3A1C"/>
      <rgbColor rgb="FF993366"/>
      <rgbColor rgb="FF333399"/>
      <rgbColor rgb="FF1F3D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3" min="3" style="0" width="30"/>
    <col collapsed="false" customWidth="true" hidden="false" outlineLevel="0" max="4" min="4" style="0" width="3"/>
    <col collapsed="false" customWidth="true" hidden="false" outlineLevel="0" max="5" min="5" style="0" width="28"/>
    <col collapsed="false" customWidth="true" hidden="false" outlineLevel="0" max="8" min="6" style="0" width="11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2068</v>
      </c>
      <c r="E4" s="5" t="s">
        <v>3</v>
      </c>
    </row>
    <row r="5" customFormat="false" ht="15" hidden="false" customHeight="false" outlineLevel="0" collapsed="false">
      <c r="A5" s="6" t="s">
        <v>4</v>
      </c>
      <c r="B5" s="7" t="n">
        <f aca="false">B50</f>
        <v>1890.89</v>
      </c>
      <c r="E5" s="6" t="s">
        <v>5</v>
      </c>
      <c r="H5" s="7" t="n">
        <f aca="false">B8</f>
        <v>-192.58</v>
      </c>
    </row>
    <row r="6" customFormat="false" ht="15" hidden="false" customHeight="false" outlineLevel="0" collapsed="false">
      <c r="A6" s="3" t="s">
        <v>6</v>
      </c>
      <c r="B6" s="8" t="n">
        <f aca="false">B4-B5</f>
        <v>177.11</v>
      </c>
      <c r="E6" s="6" t="s">
        <v>7</v>
      </c>
      <c r="H6" s="7" t="n">
        <f aca="false">SUM(H14:H32)</f>
        <v>0</v>
      </c>
    </row>
    <row r="7" customFormat="false" ht="15" hidden="false" customHeight="false" outlineLevel="0" collapsed="false">
      <c r="A7" s="6" t="s">
        <v>8</v>
      </c>
      <c r="B7" s="7" t="n">
        <f aca="false">B80</f>
        <v>369.69</v>
      </c>
      <c r="E7" s="9" t="s">
        <v>9</v>
      </c>
      <c r="H7" s="10" t="n">
        <f aca="false">H5+H6</f>
        <v>-192.58</v>
      </c>
    </row>
    <row r="8" customFormat="false" ht="15" hidden="false" customHeight="false" outlineLevel="0" collapsed="false">
      <c r="A8" s="9" t="s">
        <v>10</v>
      </c>
      <c r="B8" s="10" t="n">
        <f aca="false">B6-B7</f>
        <v>-192.58</v>
      </c>
      <c r="E8" s="11" t="s">
        <v>11</v>
      </c>
      <c r="F8" s="11" t="str">
        <f aca="false">IF(H7&gt;=-0.005,"Covered by base — surplus "&amp;TEXT(H7,"£#,##0.00"),"Still beyond base by "&amp;TEXT(-H7,"£#,##0.00"))</f>
        <v>Still beyond base by £192.58</v>
      </c>
    </row>
    <row r="13" customFormat="false" ht="15" hidden="false" customHeight="false" outlineLevel="0" collapsed="false">
      <c r="A13" s="12" t="s">
        <v>12</v>
      </c>
      <c r="B13" s="13" t="s">
        <v>13</v>
      </c>
      <c r="C13" s="12" t="s">
        <v>14</v>
      </c>
      <c r="E13" s="12" t="s">
        <v>15</v>
      </c>
      <c r="F13" s="13" t="s">
        <v>16</v>
      </c>
      <c r="G13" s="13" t="s">
        <v>17</v>
      </c>
      <c r="H13" s="13" t="s">
        <v>18</v>
      </c>
    </row>
    <row r="14" customFormat="false" ht="15" hidden="false" customHeight="false" outlineLevel="0" collapsed="false">
      <c r="A14" s="14" t="s">
        <v>19</v>
      </c>
      <c r="B14" s="15"/>
      <c r="C14" s="15"/>
      <c r="E14" s="16" t="str">
        <f aca="false">A54</f>
        <v>Takeout</v>
      </c>
      <c r="F14" s="17" t="n">
        <f aca="false">B54</f>
        <v>50</v>
      </c>
      <c r="G14" s="18" t="n">
        <f aca="false">F14</f>
        <v>50</v>
      </c>
      <c r="H14" s="17" t="n">
        <f aca="false">F14-G14</f>
        <v>0</v>
      </c>
    </row>
    <row r="15" customFormat="false" ht="15" hidden="false" customHeight="false" outlineLevel="0" collapsed="false">
      <c r="A15" s="19" t="s">
        <v>20</v>
      </c>
      <c r="B15" s="20"/>
      <c r="C15" s="20"/>
      <c r="E15" s="16" t="str">
        <f aca="false">A55</f>
        <v>Spending Money</v>
      </c>
      <c r="F15" s="17" t="n">
        <f aca="false">B55</f>
        <v>40</v>
      </c>
      <c r="G15" s="18" t="n">
        <f aca="false">F15</f>
        <v>40</v>
      </c>
      <c r="H15" s="17" t="n">
        <f aca="false">F15-G15</f>
        <v>0</v>
      </c>
    </row>
    <row r="16" customFormat="false" ht="15" hidden="false" customHeight="false" outlineLevel="0" collapsed="false">
      <c r="A16" s="16" t="s">
        <v>21</v>
      </c>
      <c r="B16" s="18" t="n">
        <v>750</v>
      </c>
      <c r="C16" s="21"/>
      <c r="E16" s="16" t="str">
        <f aca="false">A56</f>
        <v>Outside Time</v>
      </c>
      <c r="F16" s="17" t="n">
        <f aca="false">B56</f>
        <v>50</v>
      </c>
      <c r="G16" s="18" t="n">
        <f aca="false">F16</f>
        <v>50</v>
      </c>
      <c r="H16" s="17" t="n">
        <f aca="false">F16-G16</f>
        <v>0</v>
      </c>
    </row>
    <row r="17" customFormat="false" ht="15" hidden="false" customHeight="false" outlineLevel="0" collapsed="false">
      <c r="A17" s="16" t="s">
        <v>22</v>
      </c>
      <c r="B17" s="18" t="n">
        <v>91.37</v>
      </c>
      <c r="C17" s="21" t="s">
        <v>23</v>
      </c>
      <c r="E17" s="16" t="str">
        <f aca="false">A57</f>
        <v>Stuff I forgot to plan for</v>
      </c>
      <c r="F17" s="17" t="n">
        <f aca="false">B57</f>
        <v>30</v>
      </c>
      <c r="G17" s="18" t="n">
        <f aca="false">F17</f>
        <v>30</v>
      </c>
      <c r="H17" s="17" t="n">
        <f aca="false">F17-G17</f>
        <v>0</v>
      </c>
    </row>
    <row r="18" customFormat="false" ht="15" hidden="false" customHeight="false" outlineLevel="0" collapsed="false">
      <c r="A18" s="16" t="s">
        <v>24</v>
      </c>
      <c r="B18" s="18" t="n">
        <v>87</v>
      </c>
      <c r="C18" s="21"/>
      <c r="E18" s="16" t="str">
        <f aca="false">A58</f>
        <v>Haircut</v>
      </c>
      <c r="F18" s="17" t="n">
        <f aca="false">B58</f>
        <v>30</v>
      </c>
      <c r="G18" s="18" t="n">
        <f aca="false">F18</f>
        <v>30</v>
      </c>
      <c r="H18" s="17" t="n">
        <f aca="false">F18-G18</f>
        <v>0</v>
      </c>
    </row>
    <row r="19" customFormat="false" ht="15" hidden="false" customHeight="false" outlineLevel="0" collapsed="false">
      <c r="A19" s="16" t="s">
        <v>25</v>
      </c>
      <c r="B19" s="18" t="n">
        <v>38</v>
      </c>
      <c r="C19" s="21"/>
      <c r="E19" s="16" t="str">
        <f aca="false">A59</f>
        <v>Molly Birthday</v>
      </c>
      <c r="F19" s="17" t="n">
        <f aca="false">B59</f>
        <v>12.5</v>
      </c>
      <c r="G19" s="18" t="n">
        <f aca="false">F19</f>
        <v>12.5</v>
      </c>
      <c r="H19" s="17" t="n">
        <f aca="false">F19-G19</f>
        <v>0</v>
      </c>
    </row>
    <row r="20" customFormat="false" ht="15" hidden="false" customHeight="false" outlineLevel="0" collapsed="false">
      <c r="A20" s="16" t="s">
        <v>26</v>
      </c>
      <c r="B20" s="18" t="n">
        <v>26</v>
      </c>
      <c r="C20" s="21"/>
      <c r="E20" s="16" t="str">
        <f aca="false">A62</f>
        <v>Anthropic</v>
      </c>
      <c r="F20" s="17" t="n">
        <f aca="false">B62</f>
        <v>18</v>
      </c>
      <c r="G20" s="18" t="n">
        <f aca="false">F20</f>
        <v>18</v>
      </c>
      <c r="H20" s="17" t="n">
        <f aca="false">F20-G20</f>
        <v>0</v>
      </c>
    </row>
    <row r="21" customFormat="false" ht="15" hidden="false" customHeight="false" outlineLevel="0" collapsed="false">
      <c r="A21" s="16" t="s">
        <v>27</v>
      </c>
      <c r="B21" s="18" t="n">
        <v>23.53</v>
      </c>
      <c r="C21" s="21"/>
      <c r="E21" s="16" t="str">
        <f aca="false">A63</f>
        <v>Wavy</v>
      </c>
      <c r="F21" s="17" t="n">
        <f aca="false">B63</f>
        <v>9.9</v>
      </c>
      <c r="G21" s="18" t="n">
        <f aca="false">F21</f>
        <v>9.9</v>
      </c>
      <c r="H21" s="17" t="n">
        <f aca="false">F21-G21</f>
        <v>0</v>
      </c>
    </row>
    <row r="22" customFormat="false" ht="15" hidden="false" customHeight="false" outlineLevel="0" collapsed="false">
      <c r="A22" s="16" t="s">
        <v>28</v>
      </c>
      <c r="B22" s="18" t="n">
        <v>11.45</v>
      </c>
      <c r="C22" s="21"/>
      <c r="E22" s="16" t="str">
        <f aca="false">A64</f>
        <v>Suri</v>
      </c>
      <c r="F22" s="17" t="n">
        <f aca="false">B64</f>
        <v>3.66</v>
      </c>
      <c r="G22" s="18" t="n">
        <f aca="false">F22</f>
        <v>3.66</v>
      </c>
      <c r="H22" s="17" t="n">
        <f aca="false">F22-G22</f>
        <v>0</v>
      </c>
    </row>
    <row r="23" customFormat="false" ht="15" hidden="false" customHeight="false" outlineLevel="0" collapsed="false">
      <c r="A23" s="16" t="s">
        <v>29</v>
      </c>
      <c r="B23" s="18" t="n">
        <v>10</v>
      </c>
      <c r="C23" s="21"/>
      <c r="E23" s="16" t="str">
        <f aca="false">A65</f>
        <v>MacroFactor</v>
      </c>
      <c r="F23" s="17" t="n">
        <f aca="false">B65</f>
        <v>7.5</v>
      </c>
      <c r="G23" s="18" t="n">
        <f aca="false">F23</f>
        <v>7.5</v>
      </c>
      <c r="H23" s="17" t="n">
        <f aca="false">F23-G23</f>
        <v>0</v>
      </c>
    </row>
    <row r="24" customFormat="false" ht="15" hidden="false" customHeight="false" outlineLevel="0" collapsed="false">
      <c r="A24" s="16" t="s">
        <v>30</v>
      </c>
      <c r="B24" s="18" t="n">
        <v>8.5</v>
      </c>
      <c r="C24" s="21"/>
      <c r="E24" s="16" t="str">
        <f aca="false">A66</f>
        <v>Tidal</v>
      </c>
      <c r="F24" s="17" t="n">
        <f aca="false">B66</f>
        <v>10.99</v>
      </c>
      <c r="G24" s="18" t="n">
        <f aca="false">F24</f>
        <v>10.99</v>
      </c>
      <c r="H24" s="17" t="n">
        <f aca="false">F24-G24</f>
        <v>0</v>
      </c>
    </row>
    <row r="25" customFormat="false" ht="15" hidden="false" customHeight="false" outlineLevel="0" collapsed="false">
      <c r="A25" s="16" t="s">
        <v>31</v>
      </c>
      <c r="B25" s="18" t="n">
        <v>6.21</v>
      </c>
      <c r="C25" s="21" t="s">
        <v>32</v>
      </c>
      <c r="E25" s="16" t="str">
        <f aca="false">A67</f>
        <v>Audible</v>
      </c>
      <c r="F25" s="17" t="n">
        <f aca="false">B67</f>
        <v>5.83</v>
      </c>
      <c r="G25" s="18" t="n">
        <f aca="false">F25</f>
        <v>5.83</v>
      </c>
      <c r="H25" s="17" t="n">
        <f aca="false">F25-G25</f>
        <v>0</v>
      </c>
    </row>
    <row r="26" customFormat="false" ht="15" hidden="false" customHeight="false" outlineLevel="0" collapsed="false">
      <c r="A26" s="16" t="s">
        <v>33</v>
      </c>
      <c r="B26" s="18" t="n">
        <v>1.99</v>
      </c>
      <c r="C26" s="21" t="s">
        <v>34</v>
      </c>
      <c r="E26" s="16" t="str">
        <f aca="false">A68</f>
        <v>Game Pass</v>
      </c>
      <c r="F26" s="17" t="n">
        <f aca="false">B68</f>
        <v>10.99</v>
      </c>
      <c r="G26" s="18" t="n">
        <f aca="false">F26</f>
        <v>10.99</v>
      </c>
      <c r="H26" s="17" t="n">
        <f aca="false">F26-G26</f>
        <v>0</v>
      </c>
    </row>
    <row r="27" customFormat="false" ht="15" hidden="false" customHeight="false" outlineLevel="0" collapsed="false">
      <c r="A27" s="22" t="s">
        <v>35</v>
      </c>
      <c r="B27" s="23" t="n">
        <f aca="false">SUM(B16:B26)</f>
        <v>1054.05</v>
      </c>
      <c r="C27" s="24"/>
      <c r="E27" s="16" t="str">
        <f aca="false">A69</f>
        <v>ESO</v>
      </c>
      <c r="F27" s="17" t="n">
        <f aca="false">B69</f>
        <v>8.99</v>
      </c>
      <c r="G27" s="18" t="n">
        <f aca="false">F27</f>
        <v>8.99</v>
      </c>
      <c r="H27" s="17" t="n">
        <f aca="false">F27-G27</f>
        <v>0</v>
      </c>
    </row>
    <row r="28" customFormat="false" ht="15" hidden="false" customHeight="false" outlineLevel="0" collapsed="false">
      <c r="A28" s="19" t="s">
        <v>36</v>
      </c>
      <c r="B28" s="20"/>
      <c r="C28" s="20"/>
      <c r="E28" s="16" t="str">
        <f aca="false">A70</f>
        <v>Monzo+</v>
      </c>
      <c r="F28" s="17" t="n">
        <f aca="false">B70</f>
        <v>3</v>
      </c>
      <c r="G28" s="18" t="n">
        <f aca="false">F28</f>
        <v>3</v>
      </c>
      <c r="H28" s="17" t="n">
        <f aca="false">F28-G28</f>
        <v>0</v>
      </c>
    </row>
    <row r="29" customFormat="false" ht="15" hidden="false" customHeight="false" outlineLevel="0" collapsed="false">
      <c r="A29" s="16" t="s">
        <v>37</v>
      </c>
      <c r="B29" s="18" t="n">
        <v>169.08</v>
      </c>
      <c r="C29" s="21"/>
      <c r="E29" s="16" t="str">
        <f aca="false">A73</f>
        <v>Lloyds Savings</v>
      </c>
      <c r="F29" s="17" t="n">
        <f aca="false">B73</f>
        <v>20</v>
      </c>
      <c r="G29" s="18" t="n">
        <f aca="false">F29</f>
        <v>20</v>
      </c>
      <c r="H29" s="17" t="n">
        <f aca="false">F29-G29</f>
        <v>0</v>
      </c>
    </row>
    <row r="30" customFormat="false" ht="15" hidden="false" customHeight="false" outlineLevel="0" collapsed="false">
      <c r="A30" s="16" t="s">
        <v>38</v>
      </c>
      <c r="B30" s="18" t="n">
        <v>96.24</v>
      </c>
      <c r="C30" s="21"/>
      <c r="E30" s="16" t="str">
        <f aca="false">A76</f>
        <v>MOT + Service</v>
      </c>
      <c r="F30" s="17" t="n">
        <f aca="false">B76</f>
        <v>25</v>
      </c>
      <c r="G30" s="18" t="n">
        <f aca="false">F30</f>
        <v>25</v>
      </c>
      <c r="H30" s="17" t="n">
        <f aca="false">F30-G30</f>
        <v>0</v>
      </c>
    </row>
    <row r="31" customFormat="false" ht="15" hidden="false" customHeight="false" outlineLevel="0" collapsed="false">
      <c r="A31" s="16" t="s">
        <v>39</v>
      </c>
      <c r="B31" s="18" t="n">
        <v>20</v>
      </c>
      <c r="C31" s="21"/>
      <c r="E31" s="16" t="str">
        <f aca="false">A77</f>
        <v>Christmas</v>
      </c>
      <c r="F31" s="17" t="n">
        <f aca="false">B77</f>
        <v>25</v>
      </c>
      <c r="G31" s="18" t="n">
        <f aca="false">F31</f>
        <v>25</v>
      </c>
      <c r="H31" s="17" t="n">
        <f aca="false">F31-G31</f>
        <v>0</v>
      </c>
    </row>
    <row r="32" customFormat="false" ht="15" hidden="false" customHeight="false" outlineLevel="0" collapsed="false">
      <c r="A32" s="16" t="s">
        <v>40</v>
      </c>
      <c r="B32" s="18" t="n">
        <v>18.17</v>
      </c>
      <c r="C32" s="21"/>
      <c r="E32" s="16" t="str">
        <f aca="false">A78</f>
        <v>Birthdays/Presents</v>
      </c>
      <c r="F32" s="17" t="n">
        <f aca="false">B78</f>
        <v>8.33</v>
      </c>
      <c r="G32" s="18" t="n">
        <f aca="false">F32</f>
        <v>8.33</v>
      </c>
      <c r="H32" s="17" t="n">
        <f aca="false">F32-G32</f>
        <v>0</v>
      </c>
    </row>
    <row r="33" customFormat="false" ht="15" hidden="false" customHeight="false" outlineLevel="0" collapsed="false">
      <c r="A33" s="22" t="s">
        <v>41</v>
      </c>
      <c r="B33" s="23" t="n">
        <f aca="false">SUM(B29:B32)</f>
        <v>303.49</v>
      </c>
      <c r="C33" s="24"/>
    </row>
    <row r="34" customFormat="false" ht="15" hidden="false" customHeight="false" outlineLevel="0" collapsed="false">
      <c r="A34" s="19" t="s">
        <v>42</v>
      </c>
      <c r="B34" s="20"/>
      <c r="C34" s="20"/>
    </row>
    <row r="35" customFormat="false" ht="15" hidden="false" customHeight="false" outlineLevel="0" collapsed="false">
      <c r="A35" s="16" t="s">
        <v>43</v>
      </c>
      <c r="B35" s="18" t="n">
        <v>2.08</v>
      </c>
      <c r="C35" s="21" t="s">
        <v>44</v>
      </c>
      <c r="E35" s="25" t="s">
        <v>45</v>
      </c>
      <c r="F35" s="26"/>
      <c r="G35" s="26"/>
      <c r="H35" s="27" t="s">
        <v>46</v>
      </c>
    </row>
    <row r="36" customFormat="false" ht="15" hidden="false" customHeight="false" outlineLevel="0" collapsed="false">
      <c r="A36" s="16" t="s">
        <v>47</v>
      </c>
      <c r="B36" s="18" t="n">
        <v>8</v>
      </c>
      <c r="C36" s="21"/>
      <c r="E36" s="6" t="s">
        <v>48</v>
      </c>
      <c r="H36" s="4" t="n">
        <v>200</v>
      </c>
    </row>
    <row r="37" customFormat="false" ht="15" hidden="false" customHeight="false" outlineLevel="0" collapsed="false">
      <c r="A37" s="16" t="s">
        <v>49</v>
      </c>
      <c r="B37" s="18" t="n">
        <v>6.5</v>
      </c>
      <c r="C37" s="21"/>
      <c r="E37" s="6" t="s">
        <v>50</v>
      </c>
      <c r="H37" s="7" t="n">
        <f aca="false">MAX(0,-H7)</f>
        <v>192.58</v>
      </c>
    </row>
    <row r="38" customFormat="false" ht="15" hidden="false" customHeight="false" outlineLevel="0" collapsed="false">
      <c r="A38" s="16" t="s">
        <v>51</v>
      </c>
      <c r="B38" s="18" t="n">
        <v>6.49</v>
      </c>
      <c r="C38" s="21"/>
      <c r="E38" s="6" t="s">
        <v>52</v>
      </c>
      <c r="H38" s="7" t="n">
        <f aca="false">MIN(H36,H37)</f>
        <v>192.58</v>
      </c>
    </row>
    <row r="39" customFormat="false" ht="15" hidden="false" customHeight="false" outlineLevel="0" collapsed="false">
      <c r="A39" s="16" t="s">
        <v>53</v>
      </c>
      <c r="B39" s="18" t="n">
        <v>3</v>
      </c>
      <c r="C39" s="21"/>
      <c r="E39" s="28" t="s">
        <v>54</v>
      </c>
      <c r="H39" s="29" t="n">
        <f aca="false">MAX(0,H36-H37)</f>
        <v>7.42000000000013</v>
      </c>
    </row>
    <row r="40" customFormat="false" ht="15" hidden="false" customHeight="false" outlineLevel="0" collapsed="false">
      <c r="A40" s="16" t="s">
        <v>55</v>
      </c>
      <c r="B40" s="18" t="n">
        <v>1.99</v>
      </c>
      <c r="C40" s="21"/>
      <c r="E40" s="3" t="s">
        <v>11</v>
      </c>
      <c r="F40" s="3" t="str">
        <f aca="false">IF(H36&gt;=H37,"£"&amp;TEXT(H39,"#,##0.00")&amp;" to Tier 3 this month","Tier 2 short by "&amp;TEXT(H37-H36,"£#,##0.00")&amp;" — trim more or dip in")</f>
        <v>£7.42 to Tier 3 this month</v>
      </c>
    </row>
    <row r="41" customFormat="false" ht="15" hidden="false" customHeight="false" outlineLevel="0" collapsed="false">
      <c r="A41" s="16" t="s">
        <v>56</v>
      </c>
      <c r="B41" s="18" t="n">
        <v>2.99</v>
      </c>
      <c r="C41" s="21"/>
      <c r="E41" s="2" t="s">
        <v>57</v>
      </c>
    </row>
    <row r="42" customFormat="false" ht="15" hidden="false" customHeight="false" outlineLevel="0" collapsed="false">
      <c r="A42" s="22" t="s">
        <v>58</v>
      </c>
      <c r="B42" s="23" t="n">
        <f aca="false">SUM(B35:B41)</f>
        <v>31.05</v>
      </c>
      <c r="C42" s="24"/>
    </row>
    <row r="43" customFormat="false" ht="15" hidden="false" customHeight="false" outlineLevel="0" collapsed="false">
      <c r="A43" s="19" t="s">
        <v>59</v>
      </c>
      <c r="B43" s="20"/>
      <c r="C43" s="20"/>
    </row>
    <row r="44" customFormat="false" ht="15" hidden="false" customHeight="false" outlineLevel="0" collapsed="false">
      <c r="A44" s="16" t="s">
        <v>60</v>
      </c>
      <c r="B44" s="18" t="n">
        <v>360</v>
      </c>
      <c r="C44" s="21"/>
    </row>
    <row r="45" customFormat="false" ht="15" hidden="false" customHeight="false" outlineLevel="0" collapsed="false">
      <c r="A45" s="16" t="s">
        <v>61</v>
      </c>
      <c r="B45" s="18" t="n">
        <v>65</v>
      </c>
      <c r="C45" s="21"/>
    </row>
    <row r="46" customFormat="false" ht="15" hidden="false" customHeight="false" outlineLevel="0" collapsed="false">
      <c r="A46" s="16" t="s">
        <v>62</v>
      </c>
      <c r="B46" s="18" t="n">
        <v>45</v>
      </c>
      <c r="C46" s="21"/>
    </row>
    <row r="47" customFormat="false" ht="15" hidden="false" customHeight="false" outlineLevel="0" collapsed="false">
      <c r="A47" s="16" t="s">
        <v>63</v>
      </c>
      <c r="B47" s="18" t="n">
        <v>25</v>
      </c>
      <c r="C47" s="21"/>
    </row>
    <row r="48" customFormat="false" ht="15" hidden="false" customHeight="false" outlineLevel="0" collapsed="false">
      <c r="A48" s="16" t="s">
        <v>64</v>
      </c>
      <c r="B48" s="18" t="n">
        <v>7.3</v>
      </c>
      <c r="C48" s="21"/>
    </row>
    <row r="49" customFormat="false" ht="15" hidden="false" customHeight="false" outlineLevel="0" collapsed="false">
      <c r="A49" s="22" t="s">
        <v>65</v>
      </c>
      <c r="B49" s="23" t="n">
        <f aca="false">SUM(B44:B48)</f>
        <v>502.3</v>
      </c>
      <c r="C49" s="24"/>
    </row>
    <row r="50" customFormat="false" ht="15" hidden="false" customHeight="false" outlineLevel="0" collapsed="false">
      <c r="A50" s="30" t="s">
        <v>66</v>
      </c>
      <c r="B50" s="31" t="n">
        <f aca="false">B27+B33+B42+B49</f>
        <v>1890.89</v>
      </c>
      <c r="C50" s="32"/>
    </row>
    <row r="52" customFormat="false" ht="15" hidden="false" customHeight="false" outlineLevel="0" collapsed="false">
      <c r="A52" s="25" t="s">
        <v>67</v>
      </c>
      <c r="B52" s="26"/>
      <c r="C52" s="26"/>
    </row>
    <row r="53" customFormat="false" ht="15" hidden="false" customHeight="false" outlineLevel="0" collapsed="false">
      <c r="A53" s="19" t="s">
        <v>68</v>
      </c>
      <c r="B53" s="20"/>
      <c r="C53" s="20"/>
    </row>
    <row r="54" customFormat="false" ht="15" hidden="false" customHeight="false" outlineLevel="0" collapsed="false">
      <c r="A54" s="16" t="s">
        <v>69</v>
      </c>
      <c r="B54" s="18" t="n">
        <v>50</v>
      </c>
      <c r="C54" s="21"/>
    </row>
    <row r="55" customFormat="false" ht="15" hidden="false" customHeight="false" outlineLevel="0" collapsed="false">
      <c r="A55" s="16" t="s">
        <v>70</v>
      </c>
      <c r="B55" s="18" t="n">
        <v>40</v>
      </c>
      <c r="C55" s="21"/>
    </row>
    <row r="56" customFormat="false" ht="15" hidden="false" customHeight="false" outlineLevel="0" collapsed="false">
      <c r="A56" s="16" t="s">
        <v>71</v>
      </c>
      <c r="B56" s="18" t="n">
        <v>50</v>
      </c>
      <c r="C56" s="21"/>
    </row>
    <row r="57" customFormat="false" ht="15" hidden="false" customHeight="false" outlineLevel="0" collapsed="false">
      <c r="A57" s="16" t="s">
        <v>72</v>
      </c>
      <c r="B57" s="18" t="n">
        <v>30</v>
      </c>
      <c r="C57" s="21"/>
    </row>
    <row r="58" customFormat="false" ht="15" hidden="false" customHeight="false" outlineLevel="0" collapsed="false">
      <c r="A58" s="16" t="s">
        <v>73</v>
      </c>
      <c r="B58" s="18" t="n">
        <v>30</v>
      </c>
      <c r="C58" s="21" t="s">
        <v>74</v>
      </c>
    </row>
    <row r="59" customFormat="false" ht="15" hidden="false" customHeight="false" outlineLevel="0" collapsed="false">
      <c r="A59" s="16" t="s">
        <v>75</v>
      </c>
      <c r="B59" s="18" t="n">
        <v>12.5</v>
      </c>
      <c r="C59" s="21" t="s">
        <v>76</v>
      </c>
    </row>
    <row r="60" customFormat="false" ht="15" hidden="false" customHeight="false" outlineLevel="0" collapsed="false">
      <c r="A60" s="22" t="s">
        <v>77</v>
      </c>
      <c r="B60" s="23" t="n">
        <f aca="false">SUM(B54:B59)</f>
        <v>212.5</v>
      </c>
      <c r="C60" s="24"/>
    </row>
    <row r="61" customFormat="false" ht="15" hidden="false" customHeight="false" outlineLevel="0" collapsed="false">
      <c r="A61" s="19" t="s">
        <v>78</v>
      </c>
      <c r="B61" s="20"/>
      <c r="C61" s="20"/>
    </row>
    <row r="62" customFormat="false" ht="15" hidden="false" customHeight="false" outlineLevel="0" collapsed="false">
      <c r="A62" s="16" t="s">
        <v>79</v>
      </c>
      <c r="B62" s="18" t="n">
        <v>18</v>
      </c>
      <c r="C62" s="21"/>
    </row>
    <row r="63" customFormat="false" ht="15" hidden="false" customHeight="false" outlineLevel="0" collapsed="false">
      <c r="A63" s="16" t="s">
        <v>80</v>
      </c>
      <c r="B63" s="18" t="n">
        <v>9.9</v>
      </c>
      <c r="C63" s="21" t="s">
        <v>81</v>
      </c>
    </row>
    <row r="64" customFormat="false" ht="15" hidden="false" customHeight="false" outlineLevel="0" collapsed="false">
      <c r="A64" s="16" t="s">
        <v>82</v>
      </c>
      <c r="B64" s="18" t="n">
        <v>3.66</v>
      </c>
      <c r="C64" s="21" t="s">
        <v>83</v>
      </c>
    </row>
    <row r="65" customFormat="false" ht="15" hidden="false" customHeight="false" outlineLevel="0" collapsed="false">
      <c r="A65" s="16" t="s">
        <v>84</v>
      </c>
      <c r="B65" s="18" t="n">
        <v>7.5</v>
      </c>
      <c r="C65" s="21" t="s">
        <v>85</v>
      </c>
    </row>
    <row r="66" customFormat="false" ht="15" hidden="false" customHeight="false" outlineLevel="0" collapsed="false">
      <c r="A66" s="16" t="s">
        <v>86</v>
      </c>
      <c r="B66" s="18" t="n">
        <v>10.99</v>
      </c>
      <c r="C66" s="21"/>
    </row>
    <row r="67" customFormat="false" ht="15" hidden="false" customHeight="false" outlineLevel="0" collapsed="false">
      <c r="A67" s="16" t="s">
        <v>87</v>
      </c>
      <c r="B67" s="18" t="n">
        <v>5.83</v>
      </c>
      <c r="C67" s="21" t="s">
        <v>88</v>
      </c>
    </row>
    <row r="68" customFormat="false" ht="15" hidden="false" customHeight="false" outlineLevel="0" collapsed="false">
      <c r="A68" s="16" t="s">
        <v>89</v>
      </c>
      <c r="B68" s="18" t="n">
        <v>10.99</v>
      </c>
      <c r="C68" s="21"/>
    </row>
    <row r="69" customFormat="false" ht="15" hidden="false" customHeight="false" outlineLevel="0" collapsed="false">
      <c r="A69" s="16" t="s">
        <v>90</v>
      </c>
      <c r="B69" s="18" t="n">
        <v>8.99</v>
      </c>
      <c r="C69" s="21"/>
    </row>
    <row r="70" customFormat="false" ht="15" hidden="false" customHeight="false" outlineLevel="0" collapsed="false">
      <c r="A70" s="16" t="s">
        <v>91</v>
      </c>
      <c r="B70" s="18" t="n">
        <v>3</v>
      </c>
      <c r="C70" s="21"/>
    </row>
    <row r="71" customFormat="false" ht="15" hidden="false" customHeight="false" outlineLevel="0" collapsed="false">
      <c r="A71" s="22" t="s">
        <v>92</v>
      </c>
      <c r="B71" s="23" t="n">
        <f aca="false">SUM(B62:B70)</f>
        <v>78.86</v>
      </c>
      <c r="C71" s="24"/>
    </row>
    <row r="72" customFormat="false" ht="15" hidden="false" customHeight="false" outlineLevel="0" collapsed="false">
      <c r="A72" s="19" t="s">
        <v>93</v>
      </c>
      <c r="B72" s="20"/>
      <c r="C72" s="20"/>
    </row>
    <row r="73" customFormat="false" ht="15" hidden="false" customHeight="false" outlineLevel="0" collapsed="false">
      <c r="A73" s="16" t="s">
        <v>94</v>
      </c>
      <c r="B73" s="18" t="n">
        <v>20</v>
      </c>
      <c r="C73" s="21"/>
    </row>
    <row r="74" customFormat="false" ht="15" hidden="false" customHeight="false" outlineLevel="0" collapsed="false">
      <c r="A74" s="22" t="s">
        <v>95</v>
      </c>
      <c r="B74" s="23" t="n">
        <f aca="false">SUM(B73:B73)</f>
        <v>20</v>
      </c>
      <c r="C74" s="24"/>
    </row>
    <row r="75" customFormat="false" ht="15" hidden="false" customHeight="false" outlineLevel="0" collapsed="false">
      <c r="A75" s="19" t="s">
        <v>96</v>
      </c>
      <c r="B75" s="20"/>
      <c r="C75" s="20"/>
    </row>
    <row r="76" customFormat="false" ht="15" hidden="false" customHeight="false" outlineLevel="0" collapsed="false">
      <c r="A76" s="16" t="s">
        <v>97</v>
      </c>
      <c r="B76" s="18" t="n">
        <v>25</v>
      </c>
      <c r="C76" s="21" t="s">
        <v>98</v>
      </c>
    </row>
    <row r="77" customFormat="false" ht="15" hidden="false" customHeight="false" outlineLevel="0" collapsed="false">
      <c r="A77" s="16" t="s">
        <v>99</v>
      </c>
      <c r="B77" s="18" t="n">
        <v>25</v>
      </c>
      <c r="C77" s="21" t="s">
        <v>98</v>
      </c>
    </row>
    <row r="78" customFormat="false" ht="15" hidden="false" customHeight="false" outlineLevel="0" collapsed="false">
      <c r="A78" s="16" t="s">
        <v>100</v>
      </c>
      <c r="B78" s="18" t="n">
        <v>8.33</v>
      </c>
      <c r="C78" s="21" t="s">
        <v>101</v>
      </c>
    </row>
    <row r="79" customFormat="false" ht="15" hidden="false" customHeight="false" outlineLevel="0" collapsed="false">
      <c r="A79" s="22" t="s">
        <v>102</v>
      </c>
      <c r="B79" s="23" t="n">
        <f aca="false">SUM(B76:B78)</f>
        <v>58.33</v>
      </c>
      <c r="C79" s="24"/>
    </row>
    <row r="80" customFormat="false" ht="15" hidden="false" customHeight="false" outlineLevel="0" collapsed="false">
      <c r="A80" s="30" t="s">
        <v>103</v>
      </c>
      <c r="B80" s="31" t="n">
        <f aca="false">B60+B71+B74+B79</f>
        <v>369.69</v>
      </c>
      <c r="C80" s="3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4"/>
    <col collapsed="false" customWidth="true" hidden="false" outlineLevel="0" max="3" min="3" style="0" width="12"/>
    <col collapsed="false" customWidth="true" hidden="false" outlineLevel="0" max="4" min="4" style="0" width="16"/>
    <col collapsed="false" customWidth="true" hidden="false" outlineLevel="0" max="5" min="5" style="0" width="8"/>
    <col collapsed="false" customWidth="true" hidden="false" outlineLevel="0" max="7" min="6" style="0" width="13"/>
    <col collapsed="false" customWidth="true" hidden="false" outlineLevel="0" max="8" min="8" style="0" width="46"/>
  </cols>
  <sheetData>
    <row r="1" customFormat="false" ht="19.7" hidden="false" customHeight="false" outlineLevel="0" collapsed="false">
      <c r="A1" s="1" t="s">
        <v>104</v>
      </c>
    </row>
    <row r="2" customFormat="false" ht="15" hidden="false" customHeight="false" outlineLevel="0" collapsed="false">
      <c r="A2" s="2" t="s">
        <v>105</v>
      </c>
    </row>
    <row r="4" customFormat="false" ht="15" hidden="false" customHeight="false" outlineLevel="0" collapsed="false">
      <c r="A4" s="3" t="s">
        <v>106</v>
      </c>
    </row>
    <row r="5" customFormat="false" ht="15" hidden="false" customHeight="false" outlineLevel="0" collapsed="false">
      <c r="A5" s="6" t="s">
        <v>107</v>
      </c>
      <c r="B5" s="4" t="n">
        <v>250</v>
      </c>
    </row>
    <row r="6" customFormat="false" ht="15" hidden="false" customHeight="false" outlineLevel="0" collapsed="false">
      <c r="A6" s="6" t="s">
        <v>108</v>
      </c>
      <c r="B6" s="33" t="n">
        <f aca="false">DATE(2026,7,1)</f>
        <v>46204</v>
      </c>
    </row>
    <row r="7" customFormat="false" ht="15" hidden="false" customHeight="false" outlineLevel="0" collapsed="false">
      <c r="A7" s="6" t="s">
        <v>109</v>
      </c>
      <c r="B7" s="4" t="n">
        <v>9637</v>
      </c>
    </row>
    <row r="8" customFormat="false" ht="15" hidden="false" customHeight="false" outlineLevel="0" collapsed="false">
      <c r="A8" s="6" t="s">
        <v>110</v>
      </c>
      <c r="B8" s="34" t="n">
        <v>0.067</v>
      </c>
    </row>
    <row r="9" customFormat="false" ht="15" hidden="false" customHeight="false" outlineLevel="0" collapsed="false">
      <c r="A9" s="6" t="s">
        <v>111</v>
      </c>
      <c r="B9" s="4" t="n">
        <v>169.08</v>
      </c>
    </row>
    <row r="12" customFormat="false" ht="15" hidden="false" customHeight="false" outlineLevel="0" collapsed="false">
      <c r="A12" s="35" t="s">
        <v>112</v>
      </c>
      <c r="B12" s="35" t="s">
        <v>113</v>
      </c>
      <c r="C12" s="35" t="s">
        <v>114</v>
      </c>
      <c r="D12" s="35" t="s">
        <v>115</v>
      </c>
      <c r="E12" s="35" t="s">
        <v>116</v>
      </c>
      <c r="F12" s="35" t="s">
        <v>117</v>
      </c>
      <c r="G12" s="35" t="s">
        <v>118</v>
      </c>
      <c r="H12" s="35" t="s">
        <v>119</v>
      </c>
    </row>
    <row r="13" customFormat="false" ht="15" hidden="false" customHeight="false" outlineLevel="0" collapsed="false">
      <c r="A13" s="16" t="n">
        <v>1</v>
      </c>
      <c r="B13" s="16" t="s">
        <v>120</v>
      </c>
      <c r="C13" s="17" t="n">
        <v>750</v>
      </c>
      <c r="D13" s="17" t="n">
        <f aca="false">B5</f>
        <v>250</v>
      </c>
      <c r="E13" s="36" t="n">
        <f aca="false">C13/D13</f>
        <v>3</v>
      </c>
      <c r="F13" s="37" t="n">
        <f aca="false">EDATE(B6,ROUND(SUM(E13:E13),0))</f>
        <v>46296</v>
      </c>
      <c r="G13" s="16" t="s">
        <v>121</v>
      </c>
      <c r="H13" s="38" t="s">
        <v>122</v>
      </c>
    </row>
    <row r="14" customFormat="false" ht="15" hidden="false" customHeight="false" outlineLevel="0" collapsed="false">
      <c r="A14" s="16" t="n">
        <v>2</v>
      </c>
      <c r="B14" s="16" t="s">
        <v>123</v>
      </c>
      <c r="C14" s="17" t="n">
        <v>700</v>
      </c>
      <c r="D14" s="17" t="n">
        <f aca="false">B5</f>
        <v>250</v>
      </c>
      <c r="E14" s="36" t="n">
        <f aca="false">C14/D14</f>
        <v>2.8</v>
      </c>
      <c r="F14" s="37" t="n">
        <f aca="false">EDATE(B6,ROUND(SUM(E13:E14),0))</f>
        <v>46388</v>
      </c>
      <c r="G14" s="16" t="s">
        <v>121</v>
      </c>
      <c r="H14" s="38" t="s">
        <v>124</v>
      </c>
    </row>
    <row r="15" customFormat="false" ht="22.35" hidden="false" customHeight="false" outlineLevel="0" collapsed="false">
      <c r="A15" s="16" t="n">
        <v>3</v>
      </c>
      <c r="B15" s="16" t="s">
        <v>125</v>
      </c>
      <c r="C15" s="17" t="n">
        <v>737.45</v>
      </c>
      <c r="D15" s="17" t="n">
        <f aca="false">B5</f>
        <v>250</v>
      </c>
      <c r="E15" s="36" t="n">
        <f aca="false">C15/D15</f>
        <v>2.9498</v>
      </c>
      <c r="F15" s="37" t="n">
        <f aca="false">EDATE(B6,ROUND(SUM(E13:E15),0))</f>
        <v>46478</v>
      </c>
      <c r="G15" s="39" t="n">
        <v>46529</v>
      </c>
      <c r="H15" s="38" t="s">
        <v>126</v>
      </c>
    </row>
    <row r="16" customFormat="false" ht="22.35" hidden="false" customHeight="false" outlineLevel="0" collapsed="false">
      <c r="A16" s="16" t="n">
        <v>4</v>
      </c>
      <c r="B16" s="16" t="s">
        <v>127</v>
      </c>
      <c r="C16" s="17" t="n">
        <f aca="false">B7</f>
        <v>9637</v>
      </c>
      <c r="D16" s="17" t="n">
        <f aca="false">B9+B5</f>
        <v>419.08</v>
      </c>
      <c r="E16" s="36" t="n">
        <f aca="false">NPER(B8/12,-D16,B7)</f>
        <v>24.6804063289824</v>
      </c>
      <c r="F16" s="37" t="n">
        <f aca="false">EDATE(B6,ROUND(SUM(E13:E16),0))</f>
        <v>47209</v>
      </c>
      <c r="G16" s="16" t="s">
        <v>121</v>
      </c>
      <c r="H16" s="38" t="s">
        <v>128</v>
      </c>
    </row>
    <row r="17" customFormat="false" ht="15" hidden="false" customHeight="false" outlineLevel="0" collapsed="false">
      <c r="A17" s="16" t="n">
        <v>5</v>
      </c>
      <c r="B17" s="16" t="s">
        <v>129</v>
      </c>
      <c r="C17" s="17" t="n">
        <f aca="false">B9+B5</f>
        <v>419.08</v>
      </c>
      <c r="D17" s="16" t="s">
        <v>121</v>
      </c>
      <c r="E17" s="16" t="s">
        <v>121</v>
      </c>
      <c r="F17" s="37" t="n">
        <f aca="false">EDATE(B6,ROUND(SUM(E13:E16),0))</f>
        <v>47209</v>
      </c>
      <c r="G17" s="16" t="s">
        <v>130</v>
      </c>
      <c r="H17" s="40" t="s">
        <v>131</v>
      </c>
    </row>
    <row r="19" customFormat="false" ht="15" hidden="false" customHeight="false" outlineLevel="0" collapsed="false">
      <c r="A19" s="41" t="s">
        <v>132</v>
      </c>
      <c r="B19" s="3" t="str">
        <f aca="false">IF(F15&lt;=G15,"On track","Behind — lift the pace")</f>
        <v>On track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</cols>
  <sheetData>
    <row r="1" customFormat="false" ht="19.7" hidden="false" customHeight="false" outlineLevel="0" collapsed="false">
      <c r="A1" s="1" t="s">
        <v>133</v>
      </c>
    </row>
    <row r="2" customFormat="false" ht="15" hidden="false" customHeight="false" outlineLevel="0" collapsed="false">
      <c r="A2" s="2" t="s">
        <v>134</v>
      </c>
    </row>
    <row r="4" customFormat="false" ht="15" hidden="false" customHeight="false" outlineLevel="0" collapsed="false">
      <c r="A4" s="14" t="s">
        <v>135</v>
      </c>
      <c r="B4" s="15"/>
    </row>
    <row r="5" customFormat="false" ht="15" hidden="false" customHeight="false" outlineLevel="0" collapsed="false">
      <c r="A5" s="3" t="s">
        <v>136</v>
      </c>
      <c r="B5" s="8" t="n">
        <f aca="false">'Tiers 1 &amp; 2 budget'!B4</f>
        <v>2068</v>
      </c>
    </row>
    <row r="6" customFormat="false" ht="15" hidden="false" customHeight="false" outlineLevel="0" collapsed="false">
      <c r="A6" s="6" t="s">
        <v>137</v>
      </c>
      <c r="B6" s="7" t="n">
        <f aca="false">'Tiers 1 &amp; 2 budget'!B50+'Tiers 1 &amp; 2 budget'!B80</f>
        <v>2260.58</v>
      </c>
    </row>
    <row r="7" customFormat="false" ht="15" hidden="false" customHeight="false" outlineLevel="0" collapsed="false">
      <c r="A7" s="6" t="s">
        <v>138</v>
      </c>
      <c r="B7" s="7" t="n">
        <f aca="false">-'Tiers 1 &amp; 2 budget'!B33</f>
        <v>-303.49</v>
      </c>
    </row>
    <row r="8" customFormat="false" ht="15" hidden="false" customHeight="false" outlineLevel="0" collapsed="false">
      <c r="A8" s="6" t="s">
        <v>139</v>
      </c>
      <c r="B8" s="7" t="n">
        <f aca="false">-'Tiers 1 &amp; 2 budget'!B73</f>
        <v>-20</v>
      </c>
    </row>
    <row r="9" customFormat="false" ht="15" hidden="false" customHeight="false" outlineLevel="0" collapsed="false">
      <c r="A9" s="22" t="s">
        <v>140</v>
      </c>
      <c r="B9" s="23" t="n">
        <f aca="false">B6+B7+B8</f>
        <v>1937.09</v>
      </c>
    </row>
    <row r="10" customFormat="false" ht="15" hidden="false" customHeight="false" outlineLevel="0" collapsed="false">
      <c r="A10" s="30" t="s">
        <v>141</v>
      </c>
      <c r="B10" s="31" t="n">
        <f aca="false">B5-B9</f>
        <v>130.91</v>
      </c>
    </row>
    <row r="12" customFormat="false" ht="15" hidden="false" customHeight="false" outlineLevel="0" collapsed="false">
      <c r="A12" s="25" t="s">
        <v>142</v>
      </c>
      <c r="B12" s="26"/>
    </row>
    <row r="13" customFormat="false" ht="15" hidden="false" customHeight="false" outlineLevel="0" collapsed="false">
      <c r="A13" s="6" t="s">
        <v>143</v>
      </c>
      <c r="B13" s="4" t="n">
        <v>250</v>
      </c>
    </row>
    <row r="14" customFormat="false" ht="15" hidden="false" customHeight="false" outlineLevel="0" collapsed="false">
      <c r="A14" s="42" t="s">
        <v>144</v>
      </c>
      <c r="B14" s="43" t="n">
        <f aca="false">B13</f>
        <v>250</v>
      </c>
    </row>
    <row r="16" customFormat="false" ht="15" hidden="false" customHeight="false" outlineLevel="0" collapsed="false">
      <c r="A16" s="30" t="s">
        <v>145</v>
      </c>
      <c r="B16" s="32"/>
    </row>
    <row r="17" customFormat="false" ht="15" hidden="false" customHeight="false" outlineLevel="0" collapsed="false">
      <c r="A17" s="44" t="s">
        <v>146</v>
      </c>
      <c r="B17" s="45" t="n">
        <f aca="false">B10+B13</f>
        <v>380.91</v>
      </c>
    </row>
    <row r="18" customFormat="false" ht="15" hidden="false" customHeight="false" outlineLevel="0" collapsed="false">
      <c r="A18" s="44" t="s">
        <v>147</v>
      </c>
      <c r="B18" s="45" t="n">
        <f aca="false">B17*12</f>
        <v>4570.92</v>
      </c>
    </row>
    <row r="20" customFormat="false" ht="15" hidden="false" customHeight="false" outlineLevel="0" collapsed="false">
      <c r="A20" s="46" t="s">
        <v>148</v>
      </c>
    </row>
    <row r="21" customFormat="false" ht="23.85" hidden="false" customHeight="false" outlineLevel="0" collapsed="false">
      <c r="A21" s="47" t="s">
        <v>149</v>
      </c>
    </row>
    <row r="22" customFormat="false" ht="46.25" hidden="false" customHeight="false" outlineLevel="0" collapsed="false">
      <c r="A22" s="47" t="s">
        <v>150</v>
      </c>
    </row>
    <row r="23" customFormat="false" ht="23.85" hidden="false" customHeight="false" outlineLevel="0" collapsed="false">
      <c r="A23" s="47" t="s">
        <v>151</v>
      </c>
    </row>
    <row r="24" customFormat="false" ht="35.05" hidden="false" customHeight="false" outlineLevel="0" collapsed="false">
      <c r="A24" s="47" t="s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2026-06-17T14:39:28Z</dcterms:created>
  <dc:creator>openpyxl</dc:creator>
  <dc:description/>
  <dc:language>en-US</dc:language>
  <cp:lastModifiedBy/>
  <dcterms:modified xsi:type="dcterms:W3CDTF">2026-06-17T14:39:28Z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